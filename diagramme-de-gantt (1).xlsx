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" sheetId="1" state="visible" r:id="rId3"/>
    <sheet name="2025" sheetId="2" state="visible" r:id="rId4"/>
    <sheet name="20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<sst xmlns="http://schemas.openxmlformats.org/spreadsheetml/2006/main" count="900" uniqueCount="94">
  <si>
    <r>
      <rPr>
        <b val="true"/>
        <u val="single"/>
        <sz val="15"/>
        <color theme="1"/>
        <rFont val="Times New Roman"/>
        <family val="1"/>
        <charset val="1"/>
      </rPr>
      <t xml:space="preserve">DIAGRAMME DE GANTT
</t>
    </r>
    <r>
      <rPr>
        <b val="true"/>
        <sz val="15"/>
        <color theme="1"/>
        <rFont val="Times New Roman"/>
        <family val="1"/>
        <charset val="1"/>
      </rPr>
      <t xml:space="preserve">Data Analyst</t>
    </r>
  </si>
  <si>
    <t xml:space="preserve">Début formation OL :</t>
  </si>
  <si>
    <t xml:space="preserve">Olympique Lyonnais – Chassieu Décines FC</t>
  </si>
  <si>
    <t xml:space="preserve">Fin formation OL :</t>
  </si>
  <si>
    <t xml:space="preserve">OpenClassRooms</t>
  </si>
  <si>
    <t xml:space="preserve">Début formation CDFC :</t>
  </si>
  <si>
    <t xml:space="preserve">Fin formation CDFC :</t>
  </si>
  <si>
    <t xml:space="preserve">Sofiane ALLA</t>
  </si>
  <si>
    <t xml:space="preserve">Nombre de semaines en formation :</t>
  </si>
  <si>
    <t xml:space="preserve">Octobre 2024</t>
  </si>
  <si>
    <t xml:space="preserve">Novembre 2024</t>
  </si>
  <si>
    <t xml:space="preserve">Décembre 2024</t>
  </si>
  <si>
    <t xml:space="preserve">TÂCHE / ACTION / PROJET</t>
  </si>
  <si>
    <t xml:space="preserve">Date soutenance</t>
  </si>
  <si>
    <t xml:space="preserve">AVANCEMENT</t>
  </si>
  <si>
    <t xml:space="preserve">Nombre de semaines</t>
  </si>
  <si>
    <t xml:space="preserve">Semaine 1</t>
  </si>
  <si>
    <t xml:space="preserve">Semaine 2</t>
  </si>
  <si>
    <t xml:space="preserve">Semaine 3</t>
  </si>
  <si>
    <t xml:space="preserve">Semaine 4</t>
  </si>
  <si>
    <t xml:space="preserve">Projet 1 : démarrez votre formation de Business Intelligence</t>
  </si>
  <si>
    <t xml:space="preserve">se familiariser avec la formation</t>
  </si>
  <si>
    <t xml:space="preserve">                     </t>
  </si>
  <si>
    <t xml:space="preserve">x</t>
  </si>
  <si>
    <t xml:space="preserve">comprendre comment marche le site et les rendus</t>
  </si>
  <si>
    <t xml:space="preserve">les compétences</t>
  </si>
  <si>
    <t xml:space="preserve">les attendus de manière générale</t>
  </si>
  <si>
    <t xml:space="preserve">Projet 2 : visualisez des données avec Excel</t>
  </si>
  <si>
    <t xml:space="preserve">profil type des clients quittant la banque</t>
  </si>
  <si>
    <t xml:space="preserve">habitudes d’utilisations des clients</t>
  </si>
  <si>
    <t xml:space="preserve">profils de clients actuels qui pourraient partir</t>
  </si>
  <si>
    <t xml:space="preserve">Projet 3 : requêtez une base de données avec SQL</t>
  </si>
  <si>
    <t xml:space="preserve">exploration des données</t>
  </si>
  <si>
    <t xml:space="preserve">création et modification du schéma relationnel</t>
  </si>
  <si>
    <t xml:space="preserve">insertion des données</t>
  </si>
  <si>
    <t xml:space="preserve">exécution des requêtes et analyse des résultats</t>
  </si>
  <si>
    <t xml:space="preserve">Projet 4 : collectez des données en respectant les normes RGPD</t>
  </si>
  <si>
    <t xml:space="preserve">introduction et processus de collecte des données</t>
  </si>
  <si>
    <t xml:space="preserve">sélection des variables (requête SQL)</t>
  </si>
  <si>
    <t xml:space="preserve">préparation des données et nettoyage</t>
  </si>
  <si>
    <t xml:space="preserve">anonymisation des données et contrôle/validation</t>
  </si>
  <si>
    <t xml:space="preserve">choix faits</t>
  </si>
  <si>
    <t xml:space="preserve">Projet 5 : manipulez une base de données avec SQL pour suivre la satisfaction client</t>
  </si>
  <si>
    <t xml:space="preserve">identifier les points forts et axes d’amélioration</t>
  </si>
  <si>
    <t xml:space="preserve">mesurer la satisfaction par le Net Promoter Score (NPS) et d’autres indicateurs</t>
  </si>
  <si>
    <t xml:space="preserve">mettre en place un suivi par typologie de produit, magasin, source de retour et période</t>
  </si>
  <si>
    <t xml:space="preserve">Projet 6 : optimisez la gestion &amp; nettoyez les données du stock d'une boutique</t>
  </si>
  <si>
    <t xml:space="preserve">analyses exploratoires des données</t>
  </si>
  <si>
    <t xml:space="preserve">fusion ou consolidations des données</t>
  </si>
  <si>
    <t xml:space="preserve">analyses univariées du prix</t>
  </si>
  <si>
    <t xml:space="preserve">analyses complémentaires / CA, quantités, stocks, taux de marge et corrélations</t>
  </si>
  <si>
    <t xml:space="preserve">Projet 7 : créez un tableau de bord dynamique avec PowerBI pour visualiser l'avancement de projets</t>
  </si>
  <si>
    <t xml:space="preserve">product Strategy Canvas</t>
  </si>
  <si>
    <t xml:space="preserve">préparation/nettoyage des données</t>
  </si>
  <si>
    <t xml:space="preserve">modèle de données</t>
  </si>
  <si>
    <t xml:space="preserve">tableau de bord de reporting</t>
  </si>
  <si>
    <t xml:space="preserve">Projet 8 : réalisez une analyse de données en Python </t>
  </si>
  <si>
    <t xml:space="preserve">analyse du marché immobilier</t>
  </si>
  <si>
    <t xml:space="preserve">"prédire" avec un modèle</t>
  </si>
  <si>
    <t xml:space="preserve">opportunités stratégique et préconiser</t>
  </si>
  <si>
    <t xml:space="preserve">Projet 9 : améliorez les performances de l'entreprise</t>
  </si>
  <si>
    <t xml:space="preserve">méthodes d’importation, nettoyage et transformation des données</t>
  </si>
  <si>
    <t xml:space="preserve">modélisation des données</t>
  </si>
  <si>
    <t xml:space="preserve">Data Visualisation et déploiement des préconisations stratégiques (dashboard)</t>
  </si>
  <si>
    <t xml:space="preserve">mise à jour et automatisation (du dashboard)</t>
  </si>
  <si>
    <t xml:space="preserve">Projet 10 : analysez une demande business et identifiez les segments du marche les plus pertinents pour votre client</t>
  </si>
  <si>
    <t xml:space="preserve">analyse SWOT et PESTEL</t>
  </si>
  <si>
    <t xml:space="preserve">analyse des tendances du marché</t>
  </si>
  <si>
    <t xml:space="preserve">analyse du segment</t>
  </si>
  <si>
    <t xml:space="preserve">les opportunités stratégiques et les préconisations business</t>
  </si>
  <si>
    <t xml:space="preserve">Projet 11 : créez votre portfolio de professionnel de la data</t>
  </si>
  <si>
    <t xml:space="preserve">X</t>
  </si>
  <si>
    <t xml:space="preserve">site web professionnel</t>
  </si>
  <si>
    <t xml:space="preserve">carte mentale</t>
  </si>
  <si>
    <t xml:space="preserve">Projet sur GitHub</t>
  </si>
  <si>
    <t xml:space="preserve">Présentation sur PowerBI</t>
  </si>
  <si>
    <t xml:space="preserve">Janvier 2025</t>
  </si>
  <si>
    <t xml:space="preserve">Février 2025</t>
  </si>
  <si>
    <t xml:space="preserve">Mars 2025</t>
  </si>
  <si>
    <t xml:space="preserve">Avril 2025</t>
  </si>
  <si>
    <t xml:space="preserve">Mai 2025</t>
  </si>
  <si>
    <t xml:space="preserve">Juin 2025</t>
  </si>
  <si>
    <t xml:space="preserve">Juillet 2025</t>
  </si>
  <si>
    <t xml:space="preserve">Août 2025</t>
  </si>
  <si>
    <t xml:space="preserve">Septembre 2025</t>
  </si>
  <si>
    <t xml:space="preserve">Octobre 2025</t>
  </si>
  <si>
    <t xml:space="preserve">Novembre 2025</t>
  </si>
  <si>
    <t xml:space="preserve">Décembre 2025</t>
  </si>
  <si>
    <t xml:space="preserve">Janvier 2026</t>
  </si>
  <si>
    <t xml:space="preserve">Février 2026</t>
  </si>
  <si>
    <t xml:space="preserve">Mars 2026</t>
  </si>
  <si>
    <t xml:space="preserve">Avril 2026</t>
  </si>
  <si>
    <t xml:space="preserve">Mai 2026</t>
  </si>
  <si>
    <t xml:space="preserve">Juin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</si>
</sst>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\ 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u val="single"/>
      <sz val="15"/>
      <color theme="1"/>
      <name val="Times New Roman"/>
      <family val="1"/>
      <charset val="1"/>
    </font>
    <font>
      <b val="true"/>
      <sz val="15"/>
      <color theme="1"/>
      <name val="Times New Roman"/>
      <family val="1"/>
      <charset val="1"/>
    </font>
    <font>
      <sz val="15"/>
      <color theme="1"/>
      <name val="Times New Roman"/>
      <family val="1"/>
      <charset val="1"/>
    </font>
    <font>
      <sz val="12"/>
      <color theme="0"/>
      <name val="Times New Roman"/>
      <family val="1"/>
      <charset val="1"/>
    </font>
    <font>
      <strike val="true"/>
      <sz val="12"/>
      <color theme="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trike val="true"/>
      <sz val="12"/>
      <color theme="1"/>
      <name val="Times New Roman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595959"/>
        <bgColor rgb="FF333333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7999"/>
        <bgColor rgb="FFE2F0D9"/>
      </patternFill>
    </fill>
    <fill>
      <patternFill patternType="solid">
        <fgColor rgb="FFDDDDDD"/>
        <bgColor rgb="FFD9D9D9"/>
      </patternFill>
    </fill>
    <fill>
      <patternFill patternType="solid">
        <fgColor theme="4" tint="0.5999"/>
        <bgColor rgb="FFD9D9D9"/>
      </patternFill>
    </fill>
    <fill>
      <patternFill patternType="solid">
        <fgColor theme="4" tint="0.7999"/>
        <bgColor rgb="FFDDDDDD"/>
      </patternFill>
    </fill>
    <fill>
      <patternFill patternType="solid">
        <fgColor rgb="FFE6B8B7"/>
        <bgColor rgb="FFD9D9D9"/>
      </patternFill>
    </fill>
    <fill>
      <patternFill patternType="solid">
        <fgColor rgb="FFF2DCDB"/>
        <bgColor rgb="FFDDDDDD"/>
      </patternFill>
    </fill>
    <fill>
      <patternFill patternType="solid">
        <fgColor theme="9" tint="0.5999"/>
        <bgColor rgb="FFD9D9D9"/>
      </patternFill>
    </fill>
    <fill>
      <patternFill patternType="solid">
        <fgColor theme="9" tint="0.7999"/>
        <bgColor rgb="FFDAE3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0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E2F0D9"/>
      <rgbColor rgb="FFFFE699"/>
      <rgbColor rgb="FFC5E0B4"/>
      <rgbColor rgb="FFF2DCDB"/>
      <rgbColor rgb="FFCC99FF"/>
      <rgbColor rgb="FFE6B8B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5"/>
  <sheetViews>
    <sheetView showFormulas="false" showGridLines="false" showRowColHeaders="true" showZeros="true" rightToLeft="false" tabSelected="true" showOutlineSymbols="true" defaultGridColor="true" view="normal" topLeftCell="A1" colorId="64" zoomScale="31" zoomScaleNormal="31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99.96"/>
    <col collapsed="false" customWidth="true" hidden="false" outlineLevel="0" max="2" min="2" style="2" width="15.04"/>
    <col collapsed="false" customWidth="true" hidden="false" outlineLevel="0" max="3" min="3" style="1" width="31.06"/>
    <col collapsed="false" customWidth="true" hidden="false" outlineLevel="0" max="4" min="4" style="1" width="19.06"/>
    <col collapsed="false" customWidth="true" hidden="false" outlineLevel="0" max="16" min="5" style="1" width="10.24"/>
    <col collapsed="false" customWidth="false" hidden="false" outlineLevel="0" max="57" min="17" style="1" width="11.53"/>
    <col collapsed="false" customWidth="false" hidden="false" outlineLevel="0" max="61" min="58" style="3" width="11.53"/>
    <col collapsed="false" customWidth="false" hidden="false" outlineLevel="0" max="16384" min="62" style="1" width="11.53"/>
  </cols>
  <sheetData>
    <row r="1" customFormat="false" ht="34.05" hidden="false" customHeight="false" outlineLevel="0" collapsed="false">
      <c r="A1" s="4" t="s">
        <v>0</v>
      </c>
      <c r="B1" s="5"/>
    </row>
    <row r="2" customFormat="false" ht="18.55" hidden="false" customHeight="false" outlineLevel="0" collapsed="false">
      <c r="A2" s="6"/>
      <c r="B2" s="7"/>
    </row>
    <row r="3" customFormat="false" ht="18.55" hidden="false" customHeight="false" outlineLevel="0" collapsed="false">
      <c r="A3" s="6"/>
      <c r="B3" s="7"/>
      <c r="C3" s="1" t="s">
        <v>1</v>
      </c>
      <c r="D3" s="2" t="n">
        <v>45566</v>
      </c>
    </row>
    <row r="4" customFormat="false" ht="18.55" hidden="false" customHeight="false" outlineLevel="0" collapsed="false">
      <c r="A4" s="6" t="s">
        <v>2</v>
      </c>
      <c r="B4" s="7"/>
      <c r="C4" s="1" t="s">
        <v>3</v>
      </c>
      <c r="D4" s="2" t="n">
        <v>45930</v>
      </c>
    </row>
    <row r="5" customFormat="false" ht="18.55" hidden="false" customHeight="false" outlineLevel="0" collapsed="false">
      <c r="A5" s="6" t="s">
        <v>4</v>
      </c>
      <c r="B5" s="7"/>
      <c r="C5" s="1" t="s">
        <v>5</v>
      </c>
      <c r="D5" s="2" t="n">
        <v>45987</v>
      </c>
    </row>
    <row r="6" customFormat="false" ht="18.55" hidden="false" customHeight="false" outlineLevel="0" collapsed="false">
      <c r="A6" s="6"/>
      <c r="B6" s="7"/>
      <c r="C6" s="1" t="s">
        <v>6</v>
      </c>
      <c r="D6" s="2" t="n">
        <v>46203</v>
      </c>
    </row>
    <row r="7" s="9" customFormat="true" ht="18.55" hidden="false" customHeight="false" outlineLevel="0" collapsed="false">
      <c r="A7" s="6" t="s">
        <v>7</v>
      </c>
      <c r="B7" s="7"/>
      <c r="C7" s="1" t="s">
        <v>8</v>
      </c>
      <c r="D7" s="8" t="n">
        <f aca="false">(D4-D3)/7 + (D6-D5)/7</f>
        <v>82.8571428571429</v>
      </c>
      <c r="BF7" s="3"/>
      <c r="BG7" s="3"/>
      <c r="BH7" s="3"/>
      <c r="BI7" s="3"/>
    </row>
    <row r="8" customFormat="false" ht="15" hidden="false" customHeight="false" outlineLevel="0" collapsed="false">
      <c r="E8" s="10" t="s">
        <v>9</v>
      </c>
      <c r="F8" s="10"/>
      <c r="G8" s="10"/>
      <c r="H8" s="10"/>
      <c r="I8" s="10" t="s">
        <v>10</v>
      </c>
      <c r="J8" s="10"/>
      <c r="K8" s="10"/>
      <c r="L8" s="10"/>
      <c r="M8" s="10" t="s">
        <v>11</v>
      </c>
      <c r="N8" s="10"/>
      <c r="O8" s="10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 customFormat="false" ht="15" hidden="false" customHeight="false" outlineLevel="0" collapsed="false">
      <c r="A9" s="12" t="s">
        <v>12</v>
      </c>
      <c r="B9" s="13" t="s">
        <v>13</v>
      </c>
      <c r="C9" s="12" t="s">
        <v>14</v>
      </c>
      <c r="D9" s="12" t="s">
        <v>15</v>
      </c>
      <c r="E9" s="14" t="s">
        <v>16</v>
      </c>
      <c r="F9" s="14" t="s">
        <v>17</v>
      </c>
      <c r="G9" s="13" t="s">
        <v>18</v>
      </c>
      <c r="H9" s="13" t="s">
        <v>19</v>
      </c>
      <c r="I9" s="13" t="s">
        <v>16</v>
      </c>
      <c r="J9" s="13" t="s">
        <v>17</v>
      </c>
      <c r="K9" s="13" t="s">
        <v>18</v>
      </c>
      <c r="L9" s="13" t="s">
        <v>19</v>
      </c>
      <c r="M9" s="13" t="s">
        <v>16</v>
      </c>
      <c r="N9" s="13" t="s">
        <v>17</v>
      </c>
      <c r="O9" s="13" t="s">
        <v>18</v>
      </c>
      <c r="P9" s="13" t="s">
        <v>19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</row>
    <row r="10" customFormat="false" ht="15" hidden="false" customHeight="false" outlineLevel="0" collapsed="false">
      <c r="A10" s="16" t="s">
        <v>20</v>
      </c>
      <c r="B10" s="17" t="n">
        <v>45607</v>
      </c>
      <c r="C10" s="18" t="n">
        <f aca="false">SUM(C11:C14)/COUNTA(C11:C14)</f>
        <v>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customFormat="false" ht="15" hidden="false" customHeight="false" outlineLevel="0" collapsed="false">
      <c r="A11" s="20" t="s">
        <v>21</v>
      </c>
      <c r="B11" s="21"/>
      <c r="C11" s="22" t="n">
        <v>1</v>
      </c>
      <c r="D11" s="20" t="n">
        <f aca="false">COUNTIF(E11:P11,"x")</f>
        <v>2</v>
      </c>
      <c r="E11" s="23" t="s">
        <v>22</v>
      </c>
      <c r="F11" s="23" t="s">
        <v>22</v>
      </c>
      <c r="G11" s="24" t="s">
        <v>23</v>
      </c>
      <c r="H11" s="24"/>
      <c r="I11" s="24" t="s">
        <v>23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5"/>
      <c r="AH11" s="24"/>
      <c r="AI11" s="24"/>
      <c r="AJ11" s="24"/>
      <c r="AK11" s="24"/>
      <c r="AL11" s="24"/>
      <c r="AM11" s="24"/>
      <c r="AN11" s="24"/>
      <c r="AZ11" s="26"/>
      <c r="BE11" s="26"/>
    </row>
    <row r="12" customFormat="false" ht="15" hidden="false" customHeight="false" outlineLevel="0" collapsed="false">
      <c r="A12" s="20" t="s">
        <v>24</v>
      </c>
      <c r="B12" s="21"/>
      <c r="C12" s="22" t="n">
        <v>1</v>
      </c>
      <c r="D12" s="20" t="n">
        <f aca="false">COUNTIF(E12:P12,"x")</f>
        <v>3</v>
      </c>
      <c r="E12" s="23" t="s">
        <v>22</v>
      </c>
      <c r="F12" s="23" t="s">
        <v>22</v>
      </c>
      <c r="G12" s="24" t="s">
        <v>23</v>
      </c>
      <c r="H12" s="24" t="s">
        <v>23</v>
      </c>
      <c r="I12" s="24"/>
      <c r="J12" s="24" t="s">
        <v>23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  <c r="AH12" s="24"/>
      <c r="AI12" s="24"/>
      <c r="AJ12" s="24"/>
      <c r="AK12" s="24"/>
      <c r="AL12" s="24"/>
      <c r="AM12" s="24"/>
      <c r="AN12" s="24"/>
      <c r="AZ12" s="26"/>
      <c r="BE12" s="26"/>
    </row>
    <row r="13" customFormat="false" ht="15" hidden="false" customHeight="false" outlineLevel="0" collapsed="false">
      <c r="A13" s="20" t="s">
        <v>25</v>
      </c>
      <c r="B13" s="21"/>
      <c r="C13" s="22" t="n">
        <v>1</v>
      </c>
      <c r="D13" s="20" t="n">
        <f aca="false">COUNTIF(E13:P13,"x")</f>
        <v>3</v>
      </c>
      <c r="E13" s="23" t="s">
        <v>22</v>
      </c>
      <c r="F13" s="23" t="s">
        <v>22</v>
      </c>
      <c r="G13" s="24"/>
      <c r="H13" s="24" t="s">
        <v>23</v>
      </c>
      <c r="I13" s="24" t="s">
        <v>23</v>
      </c>
      <c r="J13" s="24" t="s">
        <v>23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/>
      <c r="AH13" s="24"/>
      <c r="AI13" s="24"/>
      <c r="AJ13" s="24"/>
      <c r="AK13" s="24"/>
      <c r="AL13" s="24"/>
      <c r="AM13" s="24"/>
      <c r="AN13" s="24"/>
      <c r="AZ13" s="26"/>
      <c r="BE13" s="26"/>
    </row>
    <row r="14" customFormat="false" ht="15" hidden="false" customHeight="false" outlineLevel="0" collapsed="false">
      <c r="A14" s="20" t="s">
        <v>26</v>
      </c>
      <c r="B14" s="21"/>
      <c r="C14" s="22" t="n">
        <v>1</v>
      </c>
      <c r="D14" s="20" t="n">
        <f aca="false">COUNTIF(E14:P14,"x")</f>
        <v>3</v>
      </c>
      <c r="E14" s="23" t="s">
        <v>22</v>
      </c>
      <c r="F14" s="23" t="s">
        <v>22</v>
      </c>
      <c r="G14" s="24"/>
      <c r="H14" s="24" t="s">
        <v>23</v>
      </c>
      <c r="I14" s="24" t="s">
        <v>23</v>
      </c>
      <c r="J14" s="24" t="s">
        <v>23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  <c r="AH14" s="24"/>
      <c r="AI14" s="24"/>
      <c r="AJ14" s="24"/>
      <c r="AK14" s="24"/>
      <c r="AL14" s="24"/>
      <c r="AM14" s="24"/>
      <c r="AN14" s="24"/>
      <c r="AZ14" s="26"/>
      <c r="BE14" s="26"/>
    </row>
    <row r="15" customFormat="false" ht="15" hidden="false" customHeight="false" outlineLevel="0" collapsed="false">
      <c r="A15" s="27" t="s">
        <v>27</v>
      </c>
      <c r="B15" s="28" t="n">
        <v>45987</v>
      </c>
      <c r="C15" s="29" t="n">
        <f aca="false">SUM(C16:C18)/COUNTA(C16:C18)</f>
        <v>1</v>
      </c>
      <c r="D15" s="30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customFormat="false" ht="15" hidden="false" customHeight="false" outlineLevel="0" collapsed="false">
      <c r="A16" s="31" t="s">
        <v>28</v>
      </c>
      <c r="B16" s="32"/>
      <c r="C16" s="33" t="n">
        <v>1</v>
      </c>
      <c r="D16" s="31" t="n">
        <f aca="false">COUNTIF(E16:P16,"x")</f>
        <v>2</v>
      </c>
      <c r="E16" s="23" t="s">
        <v>22</v>
      </c>
      <c r="F16" s="23" t="s">
        <v>22</v>
      </c>
      <c r="G16" s="24"/>
      <c r="H16" s="24"/>
      <c r="I16" s="24"/>
      <c r="J16" s="24" t="s">
        <v>23</v>
      </c>
      <c r="K16" s="24" t="s">
        <v>23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5"/>
      <c r="AH16" s="24"/>
      <c r="AI16" s="24"/>
      <c r="AJ16" s="24"/>
      <c r="AK16" s="24"/>
      <c r="AL16" s="24"/>
      <c r="AM16" s="24"/>
      <c r="AN16" s="24"/>
      <c r="AZ16" s="26"/>
      <c r="BE16" s="26"/>
    </row>
    <row r="17" customFormat="false" ht="15" hidden="false" customHeight="false" outlineLevel="0" collapsed="false">
      <c r="A17" s="31" t="s">
        <v>29</v>
      </c>
      <c r="B17" s="32"/>
      <c r="C17" s="33" t="n">
        <v>1</v>
      </c>
      <c r="D17" s="31" t="n">
        <f aca="false">COUNTIF(E17:P17,"x")</f>
        <v>2</v>
      </c>
      <c r="E17" s="23" t="s">
        <v>22</v>
      </c>
      <c r="F17" s="23" t="s">
        <v>22</v>
      </c>
      <c r="G17" s="24"/>
      <c r="H17" s="24"/>
      <c r="I17" s="24"/>
      <c r="J17" s="24" t="s">
        <v>23</v>
      </c>
      <c r="K17" s="24"/>
      <c r="L17" s="24" t="s">
        <v>23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5"/>
      <c r="AH17" s="24"/>
      <c r="AI17" s="24"/>
      <c r="AJ17" s="24"/>
      <c r="AK17" s="24"/>
      <c r="AL17" s="24"/>
      <c r="AM17" s="24"/>
      <c r="AN17" s="24"/>
      <c r="AZ17" s="26"/>
      <c r="BE17" s="26"/>
    </row>
    <row r="18" customFormat="false" ht="15" hidden="false" customHeight="false" outlineLevel="0" collapsed="false">
      <c r="A18" s="31" t="s">
        <v>30</v>
      </c>
      <c r="B18" s="32"/>
      <c r="C18" s="33" t="n">
        <v>1</v>
      </c>
      <c r="D18" s="31" t="n">
        <f aca="false">COUNTIF(E18:P18,"x")</f>
        <v>2</v>
      </c>
      <c r="E18" s="23" t="s">
        <v>22</v>
      </c>
      <c r="F18" s="23" t="s">
        <v>22</v>
      </c>
      <c r="G18" s="24"/>
      <c r="H18" s="24"/>
      <c r="I18" s="24"/>
      <c r="J18" s="24"/>
      <c r="K18" s="24" t="s">
        <v>23</v>
      </c>
      <c r="L18" s="24" t="s">
        <v>23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5"/>
      <c r="AH18" s="24"/>
      <c r="AI18" s="24"/>
      <c r="AJ18" s="24"/>
      <c r="AK18" s="24"/>
      <c r="AL18" s="24"/>
      <c r="AM18" s="24"/>
      <c r="AN18" s="24"/>
      <c r="AZ18" s="26"/>
      <c r="BE18" s="26"/>
    </row>
    <row r="19" customFormat="false" ht="15" hidden="false" customHeight="false" outlineLevel="0" collapsed="false">
      <c r="A19" s="34" t="s">
        <v>31</v>
      </c>
      <c r="B19" s="35" t="n">
        <v>45703</v>
      </c>
      <c r="C19" s="36" t="n">
        <f aca="false">SUM(C20:C23)/COUNTA(C20:C23)</f>
        <v>1</v>
      </c>
      <c r="D19" s="37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customFormat="false" ht="15" hidden="false" customHeight="false" outlineLevel="0" collapsed="false">
      <c r="A20" s="38" t="s">
        <v>32</v>
      </c>
      <c r="B20" s="39"/>
      <c r="C20" s="40" t="n">
        <v>1</v>
      </c>
      <c r="D20" s="38" t="n">
        <f aca="false">COUNTIF(E20:P20,"x")</f>
        <v>3</v>
      </c>
      <c r="E20" s="23" t="s">
        <v>22</v>
      </c>
      <c r="F20" s="23" t="s">
        <v>22</v>
      </c>
      <c r="G20" s="24"/>
      <c r="H20" s="24"/>
      <c r="I20" s="24"/>
      <c r="J20" s="24"/>
      <c r="K20" s="24"/>
      <c r="L20" s="24" t="s">
        <v>23</v>
      </c>
      <c r="M20" s="24" t="s">
        <v>23</v>
      </c>
      <c r="N20" s="24" t="s">
        <v>23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5"/>
      <c r="AH20" s="24"/>
      <c r="AI20" s="24"/>
      <c r="AJ20" s="24"/>
      <c r="AK20" s="24"/>
      <c r="AL20" s="24"/>
      <c r="AM20" s="24"/>
      <c r="AN20" s="24"/>
      <c r="AZ20" s="26"/>
      <c r="BE20" s="26"/>
    </row>
    <row r="21" customFormat="false" ht="15" hidden="false" customHeight="false" outlineLevel="0" collapsed="false">
      <c r="A21" s="38" t="s">
        <v>33</v>
      </c>
      <c r="B21" s="39"/>
      <c r="C21" s="40" t="n">
        <v>1</v>
      </c>
      <c r="D21" s="38" t="n">
        <f aca="false">COUNTIF(E21:P21,"x")</f>
        <v>3</v>
      </c>
      <c r="E21" s="23" t="s">
        <v>22</v>
      </c>
      <c r="F21" s="23" t="s">
        <v>22</v>
      </c>
      <c r="G21" s="24"/>
      <c r="H21" s="24"/>
      <c r="I21" s="24"/>
      <c r="J21" s="24"/>
      <c r="K21" s="24"/>
      <c r="L21" s="24"/>
      <c r="M21" s="24" t="s">
        <v>23</v>
      </c>
      <c r="N21" s="24" t="s">
        <v>23</v>
      </c>
      <c r="O21" s="24" t="s">
        <v>23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5"/>
      <c r="AH21" s="24"/>
      <c r="AI21" s="24"/>
      <c r="AJ21" s="24"/>
      <c r="AK21" s="24"/>
      <c r="AL21" s="24"/>
      <c r="AM21" s="24"/>
      <c r="AN21" s="24"/>
      <c r="AZ21" s="26"/>
      <c r="BE21" s="26"/>
    </row>
    <row r="22" customFormat="false" ht="15" hidden="false" customHeight="false" outlineLevel="0" collapsed="false">
      <c r="A22" s="38" t="s">
        <v>34</v>
      </c>
      <c r="B22" s="39"/>
      <c r="C22" s="40" t="n">
        <v>1</v>
      </c>
      <c r="D22" s="38" t="n">
        <f aca="false">COUNTIF(E22:P22,"x")</f>
        <v>4</v>
      </c>
      <c r="E22" s="23" t="s">
        <v>22</v>
      </c>
      <c r="F22" s="23" t="s">
        <v>22</v>
      </c>
      <c r="G22" s="24"/>
      <c r="H22" s="24"/>
      <c r="I22" s="24"/>
      <c r="J22" s="24"/>
      <c r="K22" s="24"/>
      <c r="L22" s="24"/>
      <c r="M22" s="24" t="s">
        <v>23</v>
      </c>
      <c r="N22" s="24" t="s">
        <v>23</v>
      </c>
      <c r="O22" s="24" t="s">
        <v>23</v>
      </c>
      <c r="P22" s="24" t="s">
        <v>23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5"/>
      <c r="AH22" s="24"/>
      <c r="AI22" s="24"/>
      <c r="AJ22" s="24"/>
      <c r="AK22" s="24"/>
      <c r="AL22" s="24"/>
      <c r="AM22" s="24"/>
      <c r="AN22" s="24"/>
      <c r="AZ22" s="26"/>
      <c r="BE22" s="26"/>
    </row>
    <row r="23" customFormat="false" ht="15" hidden="false" customHeight="false" outlineLevel="0" collapsed="false">
      <c r="A23" s="38" t="s">
        <v>35</v>
      </c>
      <c r="B23" s="39"/>
      <c r="C23" s="40" t="n">
        <v>1</v>
      </c>
      <c r="D23" s="38" t="n">
        <f aca="false">COUNTIF(E23:P23,"x")</f>
        <v>2</v>
      </c>
      <c r="E23" s="23" t="s">
        <v>22</v>
      </c>
      <c r="F23" s="23" t="s">
        <v>22</v>
      </c>
      <c r="G23" s="24"/>
      <c r="H23" s="24"/>
      <c r="I23" s="24"/>
      <c r="J23" s="24"/>
      <c r="K23" s="24"/>
      <c r="L23" s="24"/>
      <c r="M23" s="24"/>
      <c r="N23" s="24"/>
      <c r="O23" s="24" t="s">
        <v>23</v>
      </c>
      <c r="P23" s="24" t="s">
        <v>23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5"/>
      <c r="AH23" s="24"/>
      <c r="AI23" s="24"/>
      <c r="AJ23" s="24"/>
      <c r="AK23" s="24"/>
      <c r="AL23" s="24"/>
      <c r="AM23" s="24"/>
      <c r="AN23" s="24"/>
      <c r="AZ23" s="26"/>
      <c r="BE23" s="26"/>
    </row>
    <row r="24" s="3" customFormat="true" ht="15" hidden="false" customHeight="false" outlineLevel="0" collapsed="false">
      <c r="A24" s="41" t="s">
        <v>36</v>
      </c>
      <c r="B24" s="42" t="n">
        <v>45715</v>
      </c>
      <c r="C24" s="43" t="n">
        <f aca="false">SUM(C25:C29)/COUNTA(C25:C29)</f>
        <v>1</v>
      </c>
      <c r="D24" s="44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="3" customFormat="true" ht="15" hidden="false" customHeight="false" outlineLevel="0" collapsed="false">
      <c r="A25" s="45" t="s">
        <v>37</v>
      </c>
      <c r="B25" s="46"/>
      <c r="C25" s="47" t="n">
        <v>1</v>
      </c>
      <c r="D25" s="45" t="n">
        <f aca="false">COUNTIF(E25:P25,"x")</f>
        <v>0</v>
      </c>
      <c r="E25" s="23" t="s">
        <v>22</v>
      </c>
      <c r="F25" s="23" t="s">
        <v>22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5"/>
      <c r="AH25" s="24"/>
      <c r="AI25" s="24"/>
      <c r="AJ25" s="24"/>
      <c r="AK25" s="24"/>
      <c r="AL25" s="24"/>
      <c r="AM25" s="24"/>
      <c r="AN25" s="24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26"/>
      <c r="BA25" s="1"/>
      <c r="BB25" s="1"/>
      <c r="BC25" s="1"/>
      <c r="BD25" s="1"/>
      <c r="BE25" s="26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="3" customFormat="true" ht="15" hidden="false" customHeight="false" outlineLevel="0" collapsed="false">
      <c r="A26" s="45" t="s">
        <v>38</v>
      </c>
      <c r="B26" s="46"/>
      <c r="C26" s="47" t="n">
        <v>1</v>
      </c>
      <c r="D26" s="45" t="n">
        <f aca="false">COUNTIF(E26:P26,"x")</f>
        <v>0</v>
      </c>
      <c r="E26" s="23" t="s">
        <v>22</v>
      </c>
      <c r="F26" s="23" t="s">
        <v>22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5"/>
      <c r="AH26" s="24"/>
      <c r="AI26" s="24"/>
      <c r="AJ26" s="24"/>
      <c r="AK26" s="24"/>
      <c r="AL26" s="24"/>
      <c r="AM26" s="24"/>
      <c r="AN26" s="24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26"/>
      <c r="BA26" s="1"/>
      <c r="BB26" s="1"/>
      <c r="BC26" s="1"/>
      <c r="BD26" s="1"/>
      <c r="BE26" s="26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="3" customFormat="true" ht="15" hidden="false" customHeight="false" outlineLevel="0" collapsed="false">
      <c r="A27" s="45" t="s">
        <v>39</v>
      </c>
      <c r="B27" s="46"/>
      <c r="C27" s="47" t="n">
        <v>1</v>
      </c>
      <c r="D27" s="45" t="n">
        <f aca="false">COUNTIF(E27:P27,"x")</f>
        <v>0</v>
      </c>
      <c r="E27" s="23" t="s">
        <v>22</v>
      </c>
      <c r="F27" s="23" t="s">
        <v>22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5"/>
      <c r="AH27" s="24"/>
      <c r="AI27" s="24"/>
      <c r="AJ27" s="24"/>
      <c r="AK27" s="24"/>
      <c r="AL27" s="24"/>
      <c r="AM27" s="24"/>
      <c r="AN27" s="24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26"/>
      <c r="BA27" s="1"/>
      <c r="BB27" s="1"/>
      <c r="BC27" s="1"/>
      <c r="BD27" s="1"/>
      <c r="BE27" s="26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="3" customFormat="true" ht="15" hidden="false" customHeight="false" outlineLevel="0" collapsed="false">
      <c r="A28" s="45" t="s">
        <v>40</v>
      </c>
      <c r="B28" s="46"/>
      <c r="C28" s="47" t="n">
        <v>1</v>
      </c>
      <c r="D28" s="45" t="n">
        <f aca="false">COUNTIF(E28:P28,"x")</f>
        <v>0</v>
      </c>
      <c r="E28" s="23" t="s">
        <v>22</v>
      </c>
      <c r="F28" s="23" t="s">
        <v>22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5"/>
      <c r="AH28" s="24"/>
      <c r="AI28" s="24"/>
      <c r="AJ28" s="24"/>
      <c r="AK28" s="24"/>
      <c r="AL28" s="24"/>
      <c r="AM28" s="24"/>
      <c r="AN28" s="24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26"/>
      <c r="BA28" s="1"/>
      <c r="BB28" s="1"/>
      <c r="BC28" s="1"/>
      <c r="BD28" s="1"/>
      <c r="BE28" s="26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="3" customFormat="true" ht="15" hidden="false" customHeight="false" outlineLevel="0" collapsed="false">
      <c r="A29" s="45" t="s">
        <v>41</v>
      </c>
      <c r="B29" s="46"/>
      <c r="C29" s="47" t="n">
        <v>1</v>
      </c>
      <c r="D29" s="45" t="n">
        <f aca="false">COUNTIF(E29:P29,"x")</f>
        <v>0</v>
      </c>
      <c r="E29" s="23" t="s">
        <v>22</v>
      </c>
      <c r="F29" s="23" t="s">
        <v>22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5"/>
      <c r="AH29" s="24"/>
      <c r="AI29" s="24"/>
      <c r="AJ29" s="24"/>
      <c r="AK29" s="24"/>
      <c r="AL29" s="24"/>
      <c r="AM29" s="24"/>
      <c r="AN29" s="24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26"/>
      <c r="BA29" s="1"/>
      <c r="BB29" s="1"/>
      <c r="BC29" s="1"/>
      <c r="BD29" s="1"/>
      <c r="BE29" s="26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customFormat="false" ht="15" hidden="false" customHeight="false" outlineLevel="0" collapsed="false">
      <c r="A30" s="16" t="s">
        <v>42</v>
      </c>
      <c r="B30" s="17" t="n">
        <v>45887</v>
      </c>
      <c r="C30" s="18" t="n">
        <f aca="false">SUM(C31:C38)/COUNTA(C31:C38)</f>
        <v>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customFormat="false" ht="15" hidden="false" customHeight="false" outlineLevel="0" collapsed="false">
      <c r="A31" s="20" t="s">
        <v>43</v>
      </c>
      <c r="B31" s="21"/>
      <c r="C31" s="22" t="n">
        <v>1</v>
      </c>
      <c r="D31" s="20" t="n">
        <f aca="false">COUNTIF(E31:P31,"x")</f>
        <v>0</v>
      </c>
      <c r="E31" s="23" t="s">
        <v>22</v>
      </c>
      <c r="F31" s="23" t="s">
        <v>22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5"/>
      <c r="AH31" s="24"/>
      <c r="AI31" s="24"/>
      <c r="AJ31" s="24"/>
      <c r="AK31" s="24"/>
      <c r="AL31" s="24"/>
      <c r="AM31" s="24"/>
      <c r="AN31" s="24"/>
      <c r="AZ31" s="26"/>
      <c r="BE31" s="26"/>
    </row>
    <row r="32" customFormat="false" ht="15" hidden="false" customHeight="false" outlineLevel="0" collapsed="false">
      <c r="A32" s="20" t="s">
        <v>44</v>
      </c>
      <c r="B32" s="21"/>
      <c r="C32" s="22" t="n">
        <v>1</v>
      </c>
      <c r="D32" s="20" t="n">
        <f aca="false">COUNTIF(E32:P32,"x")</f>
        <v>0</v>
      </c>
      <c r="E32" s="23" t="s">
        <v>22</v>
      </c>
      <c r="F32" s="23" t="s">
        <v>22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5"/>
      <c r="AH32" s="24"/>
      <c r="AI32" s="24"/>
      <c r="AJ32" s="24"/>
      <c r="AK32" s="24"/>
      <c r="AL32" s="24"/>
      <c r="AM32" s="24"/>
      <c r="AN32" s="24"/>
      <c r="AZ32" s="26"/>
      <c r="BE32" s="26"/>
    </row>
    <row r="33" customFormat="false" ht="15" hidden="false" customHeight="false" outlineLevel="0" collapsed="false">
      <c r="A33" s="20" t="s">
        <v>45</v>
      </c>
      <c r="B33" s="21"/>
      <c r="C33" s="22" t="n">
        <v>1</v>
      </c>
      <c r="D33" s="20" t="n">
        <f aca="false">COUNTIF(E33:P33,"x")</f>
        <v>0</v>
      </c>
      <c r="E33" s="23" t="s">
        <v>22</v>
      </c>
      <c r="F33" s="23" t="s">
        <v>22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5"/>
      <c r="AH33" s="24"/>
      <c r="AI33" s="24"/>
      <c r="AJ33" s="24"/>
      <c r="AK33" s="24"/>
      <c r="AL33" s="24"/>
      <c r="AM33" s="24"/>
      <c r="AN33" s="24"/>
      <c r="AZ33" s="26"/>
      <c r="BE33" s="26"/>
    </row>
    <row r="34" customFormat="false" ht="15" hidden="false" customHeight="false" outlineLevel="0" collapsed="false">
      <c r="A34" s="27" t="s">
        <v>46</v>
      </c>
      <c r="B34" s="28" t="n">
        <v>45779</v>
      </c>
      <c r="C34" s="29" t="n">
        <f aca="false">SUM(C35:C38)/COUNTA(C35:C38)</f>
        <v>1</v>
      </c>
      <c r="D34" s="30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customFormat="false" ht="15" hidden="false" customHeight="false" outlineLevel="0" collapsed="false">
      <c r="A35" s="31" t="s">
        <v>47</v>
      </c>
      <c r="B35" s="32"/>
      <c r="C35" s="33" t="n">
        <v>1</v>
      </c>
      <c r="D35" s="31" t="n">
        <f aca="false">COUNTIF(E35:P35,"x")</f>
        <v>0</v>
      </c>
      <c r="E35" s="23" t="s">
        <v>22</v>
      </c>
      <c r="F35" s="23" t="s">
        <v>22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5"/>
      <c r="AH35" s="24"/>
      <c r="AI35" s="24"/>
      <c r="AJ35" s="24"/>
      <c r="AK35" s="24"/>
      <c r="AL35" s="24"/>
      <c r="AM35" s="24"/>
      <c r="AN35" s="24"/>
      <c r="AZ35" s="26"/>
      <c r="BE35" s="26"/>
    </row>
    <row r="36" customFormat="false" ht="15" hidden="false" customHeight="false" outlineLevel="0" collapsed="false">
      <c r="A36" s="31" t="s">
        <v>48</v>
      </c>
      <c r="B36" s="32"/>
      <c r="C36" s="33" t="n">
        <v>1</v>
      </c>
      <c r="D36" s="31" t="n">
        <f aca="false">COUNTIF(E36:P36,"x")</f>
        <v>0</v>
      </c>
      <c r="E36" s="23" t="s">
        <v>22</v>
      </c>
      <c r="F36" s="23" t="s">
        <v>22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5"/>
      <c r="AH36" s="24"/>
      <c r="AI36" s="24"/>
      <c r="AJ36" s="24"/>
      <c r="AK36" s="24"/>
      <c r="AL36" s="24"/>
      <c r="AM36" s="24"/>
      <c r="AN36" s="24"/>
      <c r="AZ36" s="26"/>
      <c r="BE36" s="26"/>
    </row>
    <row r="37" customFormat="false" ht="15" hidden="false" customHeight="false" outlineLevel="0" collapsed="false">
      <c r="A37" s="31" t="s">
        <v>49</v>
      </c>
      <c r="B37" s="32"/>
      <c r="C37" s="33" t="n">
        <v>1</v>
      </c>
      <c r="D37" s="31" t="n">
        <f aca="false">COUNTIF(E37:P37,"x")</f>
        <v>0</v>
      </c>
      <c r="E37" s="23" t="s">
        <v>22</v>
      </c>
      <c r="F37" s="23" t="s">
        <v>22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5"/>
      <c r="AH37" s="24"/>
      <c r="AI37" s="24"/>
      <c r="AJ37" s="24"/>
      <c r="AK37" s="24"/>
      <c r="AL37" s="24"/>
      <c r="AM37" s="24"/>
      <c r="AN37" s="24"/>
      <c r="AZ37" s="26"/>
      <c r="BE37" s="26"/>
    </row>
    <row r="38" customFormat="false" ht="15" hidden="false" customHeight="false" outlineLevel="0" collapsed="false">
      <c r="A38" s="31" t="s">
        <v>50</v>
      </c>
      <c r="B38" s="32"/>
      <c r="C38" s="33" t="n">
        <v>1</v>
      </c>
      <c r="D38" s="31" t="n">
        <f aca="false">COUNTIF(E38:P38,"x")</f>
        <v>0</v>
      </c>
      <c r="E38" s="23" t="s">
        <v>22</v>
      </c>
      <c r="F38" s="23" t="s">
        <v>22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5"/>
      <c r="AH38" s="24"/>
      <c r="AI38" s="24"/>
      <c r="AJ38" s="24"/>
      <c r="AK38" s="24"/>
      <c r="AL38" s="24"/>
      <c r="AM38" s="24"/>
      <c r="AN38" s="24"/>
      <c r="AZ38" s="26"/>
      <c r="BE38" s="26"/>
    </row>
    <row r="39" customFormat="false" ht="15" hidden="false" customHeight="false" outlineLevel="0" collapsed="false">
      <c r="A39" s="34" t="s">
        <v>51</v>
      </c>
      <c r="B39" s="35" t="n">
        <v>45836</v>
      </c>
      <c r="C39" s="36" t="n">
        <f aca="false">SUM(C40:C43)/COUNTA(C40:C43)</f>
        <v>1</v>
      </c>
      <c r="D39" s="37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customFormat="false" ht="15" hidden="false" customHeight="false" outlineLevel="0" collapsed="false">
      <c r="A40" s="38" t="s">
        <v>52</v>
      </c>
      <c r="B40" s="39"/>
      <c r="C40" s="40" t="n">
        <v>1</v>
      </c>
      <c r="D40" s="38" t="n">
        <f aca="false">COUNTIF(E40:P40,"x")</f>
        <v>0</v>
      </c>
      <c r="E40" s="23" t="s">
        <v>22</v>
      </c>
      <c r="F40" s="23" t="s">
        <v>22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5"/>
      <c r="AH40" s="24"/>
      <c r="AI40" s="24"/>
      <c r="AJ40" s="24"/>
      <c r="AK40" s="24"/>
      <c r="AL40" s="24"/>
      <c r="AM40" s="24"/>
      <c r="AN40" s="24"/>
      <c r="AZ40" s="26"/>
      <c r="BE40" s="26"/>
    </row>
    <row r="41" customFormat="false" ht="15" hidden="false" customHeight="false" outlineLevel="0" collapsed="false">
      <c r="A41" s="38" t="s">
        <v>53</v>
      </c>
      <c r="B41" s="39"/>
      <c r="C41" s="40" t="n">
        <v>1</v>
      </c>
      <c r="D41" s="38" t="n">
        <f aca="false">COUNTIF(E41:P41,"x")</f>
        <v>0</v>
      </c>
      <c r="E41" s="23" t="s">
        <v>22</v>
      </c>
      <c r="F41" s="23" t="s">
        <v>22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5"/>
      <c r="AH41" s="24"/>
      <c r="AI41" s="24"/>
      <c r="AJ41" s="24"/>
      <c r="AK41" s="24"/>
      <c r="AL41" s="24"/>
      <c r="AM41" s="24"/>
      <c r="AN41" s="24"/>
      <c r="AZ41" s="26"/>
      <c r="BE41" s="26"/>
    </row>
    <row r="42" customFormat="false" ht="15" hidden="false" customHeight="false" outlineLevel="0" collapsed="false">
      <c r="A42" s="38" t="s">
        <v>54</v>
      </c>
      <c r="B42" s="39"/>
      <c r="C42" s="40" t="n">
        <v>1</v>
      </c>
      <c r="D42" s="38" t="n">
        <f aca="false">COUNTIF(E42:P42,"x")</f>
        <v>0</v>
      </c>
      <c r="E42" s="23" t="s">
        <v>22</v>
      </c>
      <c r="F42" s="23" t="s">
        <v>22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5"/>
      <c r="AH42" s="24"/>
      <c r="AI42" s="24"/>
      <c r="AJ42" s="24"/>
      <c r="AK42" s="24"/>
      <c r="AL42" s="24"/>
      <c r="AM42" s="24"/>
      <c r="AN42" s="24"/>
      <c r="AZ42" s="26"/>
      <c r="BE42" s="26"/>
    </row>
    <row r="43" customFormat="false" ht="15" hidden="false" customHeight="false" outlineLevel="0" collapsed="false">
      <c r="A43" s="38" t="s">
        <v>55</v>
      </c>
      <c r="B43" s="39"/>
      <c r="C43" s="40" t="n">
        <v>1</v>
      </c>
      <c r="D43" s="38" t="n">
        <f aca="false">COUNTIF(E43:P43,"x")</f>
        <v>0</v>
      </c>
      <c r="E43" s="23" t="s">
        <v>22</v>
      </c>
      <c r="F43" s="23" t="s">
        <v>22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5"/>
      <c r="AH43" s="24"/>
      <c r="AI43" s="24"/>
      <c r="AJ43" s="24"/>
      <c r="AK43" s="24"/>
      <c r="AL43" s="24"/>
      <c r="AM43" s="24"/>
      <c r="AN43" s="24"/>
      <c r="AZ43" s="26"/>
      <c r="BE43" s="26"/>
    </row>
    <row r="44" s="3" customFormat="true" ht="15" hidden="false" customHeight="false" outlineLevel="0" collapsed="false">
      <c r="A44" s="41" t="s">
        <v>56</v>
      </c>
      <c r="B44" s="42" t="n">
        <v>46063</v>
      </c>
      <c r="C44" s="43" t="n">
        <f aca="false">SUM(C45:C47)/COUNTA(C45:C47)</f>
        <v>1</v>
      </c>
      <c r="D44" s="44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="3" customFormat="true" ht="15" hidden="false" customHeight="false" outlineLevel="0" collapsed="false">
      <c r="A45" s="45" t="s">
        <v>57</v>
      </c>
      <c r="B45" s="46"/>
      <c r="C45" s="47" t="n">
        <v>1</v>
      </c>
      <c r="D45" s="45" t="n">
        <f aca="false">COUNTIF(E45:P45,"x")</f>
        <v>0</v>
      </c>
      <c r="E45" s="23" t="s">
        <v>22</v>
      </c>
      <c r="F45" s="23" t="s">
        <v>22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5"/>
      <c r="AH45" s="24"/>
      <c r="AI45" s="24"/>
      <c r="AJ45" s="24"/>
      <c r="AK45" s="24"/>
      <c r="AL45" s="24"/>
      <c r="AM45" s="24"/>
      <c r="AN45" s="24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26"/>
      <c r="BA45" s="1"/>
      <c r="BB45" s="1"/>
      <c r="BC45" s="1"/>
      <c r="BD45" s="1"/>
      <c r="BE45" s="26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="3" customFormat="true" ht="15" hidden="false" customHeight="false" outlineLevel="0" collapsed="false">
      <c r="A46" s="45" t="s">
        <v>58</v>
      </c>
      <c r="B46" s="46"/>
      <c r="C46" s="47" t="n">
        <v>1</v>
      </c>
      <c r="D46" s="45" t="n">
        <f aca="false">COUNTIF(E46:P46,"x")</f>
        <v>0</v>
      </c>
      <c r="E46" s="23" t="s">
        <v>22</v>
      </c>
      <c r="F46" s="23" t="s">
        <v>22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5"/>
      <c r="AH46" s="24"/>
      <c r="AI46" s="24"/>
      <c r="AJ46" s="24"/>
      <c r="AK46" s="24"/>
      <c r="AL46" s="24"/>
      <c r="AM46" s="24"/>
      <c r="AN46" s="24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26"/>
      <c r="BA46" s="1"/>
      <c r="BB46" s="1"/>
      <c r="BC46" s="1"/>
      <c r="BD46" s="1"/>
      <c r="BE46" s="26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="3" customFormat="true" ht="15" hidden="false" customHeight="false" outlineLevel="0" collapsed="false">
      <c r="A47" s="45" t="s">
        <v>59</v>
      </c>
      <c r="B47" s="46"/>
      <c r="C47" s="47" t="n">
        <v>1</v>
      </c>
      <c r="D47" s="45" t="n">
        <f aca="false">COUNTIF(E47:P47,"x")</f>
        <v>0</v>
      </c>
      <c r="E47" s="23" t="s">
        <v>22</v>
      </c>
      <c r="F47" s="23" t="s">
        <v>22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5"/>
      <c r="AH47" s="24"/>
      <c r="AI47" s="24"/>
      <c r="AJ47" s="24"/>
      <c r="AK47" s="24"/>
      <c r="AL47" s="24"/>
      <c r="AM47" s="24"/>
      <c r="AN47" s="24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26"/>
      <c r="BA47" s="1"/>
      <c r="BB47" s="1"/>
      <c r="BC47" s="1"/>
      <c r="BD47" s="1"/>
      <c r="BE47" s="26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customFormat="false" ht="15" hidden="false" customHeight="false" outlineLevel="0" collapsed="false">
      <c r="A48" s="16" t="s">
        <v>60</v>
      </c>
      <c r="B48" s="17" t="n">
        <v>46110</v>
      </c>
      <c r="C48" s="18" t="n">
        <f aca="false">SUM(C49:C52)/COUNTA(C49:C52)</f>
        <v>1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customFormat="false" ht="15" hidden="false" customHeight="false" outlineLevel="0" collapsed="false">
      <c r="A49" s="20" t="s">
        <v>61</v>
      </c>
      <c r="B49" s="21"/>
      <c r="C49" s="22" t="n">
        <v>1</v>
      </c>
      <c r="D49" s="20" t="n">
        <f aca="false">COUNTIF(E49:P49,"x")</f>
        <v>0</v>
      </c>
      <c r="E49" s="23" t="s">
        <v>22</v>
      </c>
      <c r="F49" s="23" t="s">
        <v>22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5"/>
      <c r="AH49" s="24"/>
      <c r="AI49" s="24"/>
      <c r="AJ49" s="24"/>
      <c r="AK49" s="24"/>
      <c r="AL49" s="24"/>
      <c r="AM49" s="24"/>
      <c r="AN49" s="24"/>
      <c r="AZ49" s="26"/>
      <c r="BE49" s="26"/>
    </row>
    <row r="50" customFormat="false" ht="15" hidden="false" customHeight="false" outlineLevel="0" collapsed="false">
      <c r="A50" s="20" t="s">
        <v>62</v>
      </c>
      <c r="B50" s="21"/>
      <c r="C50" s="22" t="n">
        <v>1</v>
      </c>
      <c r="D50" s="20" t="n">
        <f aca="false">COUNTIF(E50:P50,"x")</f>
        <v>0</v>
      </c>
      <c r="E50" s="23" t="s">
        <v>22</v>
      </c>
      <c r="F50" s="23" t="s">
        <v>22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5"/>
      <c r="AH50" s="24"/>
      <c r="AI50" s="24"/>
      <c r="AJ50" s="24"/>
      <c r="AK50" s="24"/>
      <c r="AL50" s="24"/>
      <c r="AM50" s="24"/>
      <c r="AN50" s="24"/>
      <c r="AZ50" s="26"/>
      <c r="BE50" s="26"/>
    </row>
    <row r="51" customFormat="false" ht="15" hidden="false" customHeight="false" outlineLevel="0" collapsed="false">
      <c r="A51" s="20" t="s">
        <v>63</v>
      </c>
      <c r="B51" s="21"/>
      <c r="C51" s="22" t="n">
        <v>1</v>
      </c>
      <c r="D51" s="20" t="n">
        <f aca="false">COUNTIF(E51:P51,"x")</f>
        <v>0</v>
      </c>
      <c r="E51" s="23" t="s">
        <v>22</v>
      </c>
      <c r="F51" s="23" t="s">
        <v>22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5"/>
      <c r="AH51" s="24"/>
      <c r="AI51" s="24"/>
      <c r="AJ51" s="24"/>
      <c r="AK51" s="24"/>
      <c r="AL51" s="24"/>
      <c r="AM51" s="24"/>
      <c r="AN51" s="24"/>
      <c r="AZ51" s="26"/>
      <c r="BE51" s="26"/>
    </row>
    <row r="52" customFormat="false" ht="15" hidden="false" customHeight="false" outlineLevel="0" collapsed="false">
      <c r="A52" s="20" t="s">
        <v>64</v>
      </c>
      <c r="B52" s="21"/>
      <c r="C52" s="22" t="n">
        <v>1</v>
      </c>
      <c r="D52" s="20" t="n">
        <f aca="false">COUNTIF(E52:P52,"x")</f>
        <v>0</v>
      </c>
      <c r="E52" s="23" t="s">
        <v>22</v>
      </c>
      <c r="F52" s="23" t="s">
        <v>22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5"/>
      <c r="AH52" s="24"/>
      <c r="AI52" s="24"/>
      <c r="AJ52" s="24"/>
      <c r="AK52" s="24"/>
      <c r="AL52" s="24"/>
      <c r="AM52" s="24"/>
      <c r="AN52" s="24"/>
      <c r="AZ52" s="26"/>
      <c r="BE52" s="26"/>
    </row>
    <row r="53" customFormat="false" ht="15" hidden="false" customHeight="false" outlineLevel="0" collapsed="false">
      <c r="A53" s="27" t="s">
        <v>65</v>
      </c>
      <c r="B53" s="28" t="n">
        <v>46148</v>
      </c>
      <c r="C53" s="29" t="n">
        <f aca="false">SUM(C54)/COUNTA(C54)</f>
        <v>1</v>
      </c>
      <c r="D53" s="30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</row>
    <row r="54" customFormat="false" ht="15" hidden="false" customHeight="false" outlineLevel="0" collapsed="false">
      <c r="A54" s="31" t="s">
        <v>66</v>
      </c>
      <c r="B54" s="32"/>
      <c r="C54" s="33" t="n">
        <v>1</v>
      </c>
      <c r="D54" s="31" t="n">
        <f aca="false">COUNTIF(E54:P54,"x")</f>
        <v>0</v>
      </c>
      <c r="E54" s="23" t="s">
        <v>22</v>
      </c>
      <c r="F54" s="23" t="s">
        <v>22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5"/>
      <c r="AH54" s="24"/>
      <c r="AI54" s="24"/>
      <c r="AJ54" s="24"/>
      <c r="AK54" s="24"/>
      <c r="AL54" s="24"/>
      <c r="AM54" s="24"/>
      <c r="AN54" s="24"/>
      <c r="AZ54" s="26"/>
      <c r="BE54" s="26"/>
    </row>
    <row r="55" customFormat="false" ht="15" hidden="false" customHeight="false" outlineLevel="0" collapsed="false">
      <c r="A55" s="31" t="s">
        <v>67</v>
      </c>
      <c r="B55" s="32"/>
      <c r="C55" s="33" t="n">
        <v>1</v>
      </c>
      <c r="D55" s="31" t="n">
        <f aca="false">COUNTIF(E55:P55,"x")</f>
        <v>0</v>
      </c>
      <c r="E55" s="23" t="s">
        <v>22</v>
      </c>
      <c r="F55" s="23" t="s">
        <v>22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5"/>
      <c r="AH55" s="24"/>
      <c r="AI55" s="24"/>
      <c r="AJ55" s="24"/>
      <c r="AK55" s="24"/>
      <c r="AL55" s="24"/>
      <c r="AM55" s="24"/>
      <c r="AN55" s="24"/>
      <c r="AZ55" s="26"/>
      <c r="BE55" s="26"/>
    </row>
    <row r="56" customFormat="false" ht="15" hidden="false" customHeight="false" outlineLevel="0" collapsed="false">
      <c r="A56" s="31" t="s">
        <v>68</v>
      </c>
      <c r="B56" s="32"/>
      <c r="C56" s="33" t="n">
        <v>1</v>
      </c>
      <c r="D56" s="31" t="n">
        <f aca="false">COUNTIF(E56:P56,"x")</f>
        <v>0</v>
      </c>
      <c r="E56" s="23" t="s">
        <v>22</v>
      </c>
      <c r="F56" s="23" t="s">
        <v>22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5"/>
      <c r="AH56" s="24"/>
      <c r="AI56" s="24"/>
      <c r="AJ56" s="24"/>
      <c r="AK56" s="24"/>
      <c r="AL56" s="24"/>
      <c r="AM56" s="24"/>
      <c r="AN56" s="24"/>
      <c r="AZ56" s="26"/>
      <c r="BE56" s="26"/>
    </row>
    <row r="57" customFormat="false" ht="15" hidden="false" customHeight="false" outlineLevel="0" collapsed="false">
      <c r="A57" s="31" t="s">
        <v>69</v>
      </c>
      <c r="B57" s="32"/>
      <c r="C57" s="33" t="n">
        <v>1</v>
      </c>
      <c r="D57" s="31" t="n">
        <f aca="false">COUNTIF(E57:P57,"x")</f>
        <v>0</v>
      </c>
      <c r="E57" s="23" t="s">
        <v>22</v>
      </c>
      <c r="F57" s="23" t="s">
        <v>22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5"/>
      <c r="AH57" s="24"/>
      <c r="AI57" s="24"/>
      <c r="AJ57" s="24"/>
      <c r="AK57" s="24"/>
      <c r="AL57" s="24"/>
      <c r="AM57" s="24"/>
      <c r="AN57" s="24"/>
      <c r="AZ57" s="26"/>
      <c r="BE57" s="26"/>
    </row>
    <row r="58" customFormat="false" ht="15" hidden="false" customHeight="false" outlineLevel="0" collapsed="false">
      <c r="A58" s="34" t="s">
        <v>70</v>
      </c>
      <c r="B58" s="35" t="s">
        <v>71</v>
      </c>
      <c r="C58" s="36" t="n">
        <f aca="false">SUM(C59:C62)/COUNTA(C59:C62)</f>
        <v>1</v>
      </c>
      <c r="D58" s="37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customFormat="false" ht="15" hidden="false" customHeight="false" outlineLevel="0" collapsed="false">
      <c r="A59" s="38" t="s">
        <v>72</v>
      </c>
      <c r="B59" s="39"/>
      <c r="C59" s="40" t="n">
        <v>1</v>
      </c>
      <c r="D59" s="38" t="n">
        <f aca="false">COUNTIF(E59:P59,"x")</f>
        <v>0</v>
      </c>
      <c r="E59" s="23" t="s">
        <v>22</v>
      </c>
      <c r="F59" s="23" t="s">
        <v>22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5"/>
      <c r="AH59" s="24"/>
      <c r="AI59" s="24"/>
      <c r="AJ59" s="24"/>
      <c r="AK59" s="24"/>
      <c r="AL59" s="24"/>
      <c r="AM59" s="24"/>
      <c r="AN59" s="24"/>
      <c r="AZ59" s="26"/>
      <c r="BE59" s="26"/>
    </row>
    <row r="60" customFormat="false" ht="15" hidden="false" customHeight="false" outlineLevel="0" collapsed="false">
      <c r="A60" s="38" t="s">
        <v>73</v>
      </c>
      <c r="B60" s="39"/>
      <c r="C60" s="40" t="n">
        <v>1</v>
      </c>
      <c r="D60" s="38" t="n">
        <f aca="false">COUNTIF(E60:P60,"x")</f>
        <v>0</v>
      </c>
      <c r="E60" s="23" t="s">
        <v>22</v>
      </c>
      <c r="F60" s="23" t="s">
        <v>22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5"/>
      <c r="AH60" s="24"/>
      <c r="AI60" s="24"/>
      <c r="AJ60" s="24"/>
      <c r="AK60" s="24"/>
      <c r="AL60" s="24"/>
      <c r="AM60" s="24"/>
      <c r="AN60" s="24"/>
      <c r="AZ60" s="26"/>
      <c r="BE60" s="26"/>
    </row>
    <row r="61" customFormat="false" ht="15" hidden="false" customHeight="false" outlineLevel="0" collapsed="false">
      <c r="A61" s="38" t="s">
        <v>74</v>
      </c>
      <c r="B61" s="39"/>
      <c r="C61" s="40" t="n">
        <v>1</v>
      </c>
      <c r="D61" s="38" t="n">
        <f aca="false">COUNTIF(E61:P61,"x")</f>
        <v>0</v>
      </c>
      <c r="E61" s="23" t="s">
        <v>22</v>
      </c>
      <c r="F61" s="23" t="s">
        <v>22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5"/>
      <c r="AH61" s="24"/>
      <c r="AI61" s="24"/>
      <c r="AJ61" s="24"/>
      <c r="AK61" s="24"/>
      <c r="AL61" s="24"/>
      <c r="AM61" s="24"/>
      <c r="AN61" s="24"/>
      <c r="AZ61" s="26"/>
      <c r="BE61" s="26"/>
    </row>
    <row r="62" customFormat="false" ht="15" hidden="false" customHeight="false" outlineLevel="0" collapsed="false">
      <c r="A62" s="38" t="s">
        <v>75</v>
      </c>
      <c r="B62" s="39"/>
      <c r="C62" s="40" t="n">
        <v>1</v>
      </c>
      <c r="D62" s="38" t="n">
        <f aca="false">COUNTIF(E62:P62,"x")</f>
        <v>0</v>
      </c>
      <c r="E62" s="23" t="s">
        <v>22</v>
      </c>
      <c r="F62" s="23" t="s">
        <v>22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5"/>
      <c r="AH62" s="24"/>
      <c r="AI62" s="24"/>
      <c r="AJ62" s="24"/>
      <c r="AK62" s="24"/>
      <c r="AL62" s="24"/>
      <c r="AM62" s="24"/>
      <c r="AN62" s="24"/>
      <c r="AZ62" s="26"/>
      <c r="BE62" s="26"/>
      <c r="XFB62" s="3"/>
      <c r="XFC62" s="3"/>
      <c r="XFD62" s="3"/>
    </row>
    <row r="63" s="3" customFormat="true" ht="15" hidden="false" customHeight="false" outlineLevel="0" collapsed="false">
      <c r="A63" s="1"/>
      <c r="B63" s="2"/>
      <c r="C63" s="48"/>
      <c r="D63" s="1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5"/>
      <c r="AH63" s="24"/>
      <c r="AI63" s="24"/>
      <c r="AJ63" s="24"/>
      <c r="AK63" s="24"/>
      <c r="AL63" s="24"/>
      <c r="AM63" s="24"/>
      <c r="AN63" s="24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26"/>
      <c r="BA63" s="1"/>
      <c r="BB63" s="1"/>
      <c r="BC63" s="1"/>
      <c r="BD63" s="1"/>
      <c r="BE63" s="26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="3" customFormat="true" ht="15" hidden="false" customHeight="false" outlineLevel="0" collapsed="false">
      <c r="A64" s="1"/>
      <c r="B64" s="2"/>
      <c r="C64" s="48"/>
      <c r="D64" s="1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5"/>
      <c r="AH64" s="24"/>
      <c r="AI64" s="24"/>
      <c r="AJ64" s="24"/>
      <c r="AK64" s="24"/>
      <c r="AL64" s="24"/>
      <c r="AM64" s="24"/>
      <c r="AN64" s="24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26"/>
      <c r="BA64" s="1"/>
      <c r="BB64" s="1"/>
      <c r="BC64" s="1"/>
      <c r="BD64" s="1"/>
      <c r="BE64" s="26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="3" customFormat="true" ht="15" hidden="false" customHeight="false" outlineLevel="0" collapsed="false">
      <c r="A65" s="1"/>
      <c r="B65" s="2"/>
      <c r="C65" s="48"/>
      <c r="D65" s="1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5"/>
      <c r="AH65" s="24"/>
      <c r="AI65" s="24"/>
      <c r="AJ65" s="24"/>
      <c r="AK65" s="24"/>
      <c r="AL65" s="24"/>
      <c r="AM65" s="24"/>
      <c r="AN65" s="24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26"/>
      <c r="BA65" s="1"/>
      <c r="BB65" s="1"/>
      <c r="BC65" s="1"/>
      <c r="BD65" s="1"/>
      <c r="BE65" s="26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</sheetData>
  <mergeCells count="15">
    <mergeCell ref="E8:H8"/>
    <mergeCell ref="I8:L8"/>
    <mergeCell ref="M8:P8"/>
    <mergeCell ref="Q8:T8"/>
    <mergeCell ref="U8:X8"/>
    <mergeCell ref="Y8:AB8"/>
    <mergeCell ref="AC8:AF8"/>
    <mergeCell ref="AG8:AJ8"/>
    <mergeCell ref="AK8:AN8"/>
    <mergeCell ref="AO8:AR8"/>
    <mergeCell ref="AS8:AV8"/>
    <mergeCell ref="AW8:AZ8"/>
    <mergeCell ref="BA8:BD8"/>
    <mergeCell ref="BE8:BH8"/>
    <mergeCell ref="BI8:BL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65"/>
  <sheetViews>
    <sheetView showFormulas="false" showGridLines="false" showRowColHeaders="true" showZeros="true" rightToLeft="false" tabSelected="false" showOutlineSymbols="true" defaultGridColor="true" view="normal" topLeftCell="A1" colorId="64" zoomScale="31" zoomScaleNormal="31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99.96"/>
    <col collapsed="false" customWidth="true" hidden="false" outlineLevel="0" max="2" min="2" style="2" width="15.04"/>
    <col collapsed="false" customWidth="true" hidden="false" outlineLevel="0" max="3" min="3" style="1" width="31.06"/>
    <col collapsed="false" customWidth="true" hidden="false" outlineLevel="0" max="4" min="4" style="1" width="19.06"/>
    <col collapsed="false" customWidth="true" hidden="false" outlineLevel="0" max="45" min="5" style="1" width="10.24"/>
    <col collapsed="false" customWidth="true" hidden="false" outlineLevel="0" max="49" min="46" style="3" width="10.24"/>
    <col collapsed="false" customWidth="true" hidden="false" outlineLevel="0" max="52" min="50" style="1" width="10.24"/>
    <col collapsed="false" customWidth="false" hidden="false" outlineLevel="0" max="16384" min="16370" style="3" width="11.53"/>
  </cols>
  <sheetData>
    <row r="1" customFormat="false" ht="34.05" hidden="false" customHeight="false" outlineLevel="0" collapsed="false">
      <c r="A1" s="4" t="s">
        <v>0</v>
      </c>
      <c r="B1" s="5"/>
    </row>
    <row r="2" customFormat="false" ht="18.55" hidden="false" customHeight="false" outlineLevel="0" collapsed="false">
      <c r="A2" s="6"/>
      <c r="B2" s="7"/>
    </row>
    <row r="3" customFormat="false" ht="18.55" hidden="false" customHeight="false" outlineLevel="0" collapsed="false">
      <c r="A3" s="6"/>
      <c r="B3" s="7"/>
      <c r="C3" s="1" t="s">
        <v>1</v>
      </c>
      <c r="D3" s="2" t="n">
        <v>45566</v>
      </c>
    </row>
    <row r="4" customFormat="false" ht="18.55" hidden="false" customHeight="false" outlineLevel="0" collapsed="false">
      <c r="A4" s="6" t="s">
        <v>2</v>
      </c>
      <c r="B4" s="7"/>
      <c r="C4" s="1" t="s">
        <v>3</v>
      </c>
      <c r="D4" s="2" t="n">
        <v>45930</v>
      </c>
    </row>
    <row r="5" customFormat="false" ht="18.55" hidden="false" customHeight="false" outlineLevel="0" collapsed="false">
      <c r="A5" s="6" t="s">
        <v>4</v>
      </c>
      <c r="B5" s="7"/>
      <c r="C5" s="1" t="s">
        <v>5</v>
      </c>
      <c r="D5" s="2" t="n">
        <v>45987</v>
      </c>
    </row>
    <row r="6" customFormat="false" ht="18.55" hidden="false" customHeight="false" outlineLevel="0" collapsed="false">
      <c r="A6" s="6"/>
      <c r="B6" s="7"/>
      <c r="C6" s="1" t="s">
        <v>6</v>
      </c>
      <c r="D6" s="2" t="n">
        <v>46203</v>
      </c>
    </row>
    <row r="7" customFormat="false" ht="18.55" hidden="false" customHeight="false" outlineLevel="0" collapsed="false">
      <c r="A7" s="6" t="s">
        <v>7</v>
      </c>
      <c r="B7" s="7"/>
      <c r="C7" s="1" t="s">
        <v>8</v>
      </c>
      <c r="D7" s="8" t="n">
        <f aca="false">(D4-D3)/7 + (D6-D5)/7</f>
        <v>82.8571428571429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X7" s="9"/>
      <c r="AY7" s="9"/>
      <c r="AZ7" s="9"/>
    </row>
    <row r="8" customFormat="false" ht="15" hidden="false" customHeight="false" outlineLevel="0" collapsed="false">
      <c r="E8" s="10" t="s">
        <v>76</v>
      </c>
      <c r="F8" s="10"/>
      <c r="G8" s="10"/>
      <c r="H8" s="10"/>
      <c r="I8" s="10" t="s">
        <v>77</v>
      </c>
      <c r="J8" s="10"/>
      <c r="K8" s="10"/>
      <c r="L8" s="10"/>
      <c r="M8" s="10" t="s">
        <v>78</v>
      </c>
      <c r="N8" s="10"/>
      <c r="O8" s="10"/>
      <c r="P8" s="10"/>
      <c r="Q8" s="10" t="s">
        <v>79</v>
      </c>
      <c r="R8" s="10"/>
      <c r="S8" s="10"/>
      <c r="T8" s="10"/>
      <c r="U8" s="10" t="s">
        <v>80</v>
      </c>
      <c r="V8" s="10"/>
      <c r="W8" s="10"/>
      <c r="X8" s="10"/>
      <c r="Y8" s="10" t="s">
        <v>81</v>
      </c>
      <c r="Z8" s="10"/>
      <c r="AA8" s="10"/>
      <c r="AB8" s="10"/>
      <c r="AC8" s="10" t="s">
        <v>82</v>
      </c>
      <c r="AD8" s="10"/>
      <c r="AE8" s="10"/>
      <c r="AF8" s="10"/>
      <c r="AG8" s="10" t="s">
        <v>83</v>
      </c>
      <c r="AH8" s="10"/>
      <c r="AI8" s="10"/>
      <c r="AJ8" s="10"/>
      <c r="AK8" s="10" t="s">
        <v>84</v>
      </c>
      <c r="AL8" s="10"/>
      <c r="AM8" s="10"/>
      <c r="AN8" s="10"/>
      <c r="AO8" s="10" t="s">
        <v>85</v>
      </c>
      <c r="AP8" s="10"/>
      <c r="AQ8" s="10"/>
      <c r="AR8" s="10"/>
      <c r="AS8" s="10" t="s">
        <v>86</v>
      </c>
      <c r="AT8" s="10"/>
      <c r="AU8" s="10"/>
      <c r="AV8" s="10"/>
      <c r="AW8" s="10" t="s">
        <v>87</v>
      </c>
      <c r="AX8" s="10"/>
      <c r="AY8" s="10"/>
      <c r="AZ8" s="10"/>
    </row>
    <row r="9" customFormat="false" ht="15" hidden="false" customHeight="false" outlineLevel="0" collapsed="false">
      <c r="A9" s="12" t="s">
        <v>12</v>
      </c>
      <c r="B9" s="13" t="s">
        <v>13</v>
      </c>
      <c r="C9" s="12" t="s">
        <v>14</v>
      </c>
      <c r="D9" s="12" t="s">
        <v>15</v>
      </c>
      <c r="E9" s="13" t="s">
        <v>16</v>
      </c>
      <c r="F9" s="13" t="s">
        <v>17</v>
      </c>
      <c r="G9" s="13" t="s">
        <v>18</v>
      </c>
      <c r="H9" s="13" t="s">
        <v>19</v>
      </c>
      <c r="I9" s="13" t="s">
        <v>16</v>
      </c>
      <c r="J9" s="13" t="s">
        <v>17</v>
      </c>
      <c r="K9" s="13" t="s">
        <v>18</v>
      </c>
      <c r="L9" s="13" t="s">
        <v>19</v>
      </c>
      <c r="M9" s="13" t="s">
        <v>16</v>
      </c>
      <c r="N9" s="13" t="s">
        <v>17</v>
      </c>
      <c r="O9" s="13" t="s">
        <v>18</v>
      </c>
      <c r="P9" s="13" t="s">
        <v>19</v>
      </c>
      <c r="Q9" s="13" t="s">
        <v>16</v>
      </c>
      <c r="R9" s="13" t="s">
        <v>17</v>
      </c>
      <c r="S9" s="13" t="s">
        <v>18</v>
      </c>
      <c r="T9" s="13" t="s">
        <v>19</v>
      </c>
      <c r="U9" s="13" t="s">
        <v>16</v>
      </c>
      <c r="V9" s="13" t="s">
        <v>17</v>
      </c>
      <c r="W9" s="13" t="s">
        <v>18</v>
      </c>
      <c r="X9" s="13" t="s">
        <v>19</v>
      </c>
      <c r="Y9" s="13" t="s">
        <v>16</v>
      </c>
      <c r="Z9" s="13" t="s">
        <v>17</v>
      </c>
      <c r="AA9" s="13" t="s">
        <v>18</v>
      </c>
      <c r="AB9" s="49" t="s">
        <v>19</v>
      </c>
      <c r="AC9" s="13" t="s">
        <v>16</v>
      </c>
      <c r="AD9" s="13" t="s">
        <v>17</v>
      </c>
      <c r="AE9" s="13" t="s">
        <v>18</v>
      </c>
      <c r="AF9" s="13" t="s">
        <v>19</v>
      </c>
      <c r="AG9" s="13" t="s">
        <v>16</v>
      </c>
      <c r="AH9" s="13" t="s">
        <v>17</v>
      </c>
      <c r="AI9" s="13" t="s">
        <v>18</v>
      </c>
      <c r="AJ9" s="49" t="s">
        <v>19</v>
      </c>
      <c r="AK9" s="13" t="s">
        <v>16</v>
      </c>
      <c r="AL9" s="13" t="s">
        <v>17</v>
      </c>
      <c r="AM9" s="13" t="s">
        <v>18</v>
      </c>
      <c r="AN9" s="13" t="s">
        <v>19</v>
      </c>
      <c r="AO9" s="14" t="s">
        <v>16</v>
      </c>
      <c r="AP9" s="14" t="s">
        <v>17</v>
      </c>
      <c r="AQ9" s="14" t="s">
        <v>18</v>
      </c>
      <c r="AR9" s="50" t="s">
        <v>19</v>
      </c>
      <c r="AS9" s="14" t="s">
        <v>16</v>
      </c>
      <c r="AT9" s="14" t="s">
        <v>17</v>
      </c>
      <c r="AU9" s="14" t="s">
        <v>18</v>
      </c>
      <c r="AV9" s="14" t="s">
        <v>19</v>
      </c>
      <c r="AW9" s="13" t="s">
        <v>16</v>
      </c>
      <c r="AX9" s="13" t="s">
        <v>17</v>
      </c>
      <c r="AY9" s="13" t="s">
        <v>18</v>
      </c>
      <c r="AZ9" s="49" t="s">
        <v>19</v>
      </c>
    </row>
    <row r="10" customFormat="false" ht="15" hidden="false" customHeight="false" outlineLevel="0" collapsed="false">
      <c r="A10" s="16" t="s">
        <v>20</v>
      </c>
      <c r="B10" s="17" t="n">
        <v>45607</v>
      </c>
      <c r="C10" s="18" t="n">
        <f aca="false">SUM(C11:C14)/COUNTA(C11:C14)</f>
        <v>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customFormat="false" ht="15" hidden="false" customHeight="false" outlineLevel="0" collapsed="false">
      <c r="A11" s="20" t="s">
        <v>21</v>
      </c>
      <c r="B11" s="21"/>
      <c r="C11" s="22" t="n">
        <v>1</v>
      </c>
      <c r="D11" s="20" t="n">
        <f aca="false">COUNTIF(E11:AZ11,"x")</f>
        <v>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5"/>
      <c r="V11" s="24"/>
      <c r="W11" s="24"/>
      <c r="X11" s="24"/>
      <c r="Y11" s="24"/>
      <c r="Z11" s="24"/>
      <c r="AA11" s="24"/>
      <c r="AB11" s="24"/>
      <c r="AN11" s="26"/>
      <c r="AO11" s="23" t="s">
        <v>22</v>
      </c>
      <c r="AP11" s="23" t="s">
        <v>22</v>
      </c>
      <c r="AQ11" s="23" t="s">
        <v>22</v>
      </c>
      <c r="AR11" s="23" t="s">
        <v>22</v>
      </c>
      <c r="AS11" s="23" t="s">
        <v>22</v>
      </c>
      <c r="AT11" s="23" t="s">
        <v>22</v>
      </c>
      <c r="AU11" s="23" t="s">
        <v>22</v>
      </c>
      <c r="AV11" s="23" t="s">
        <v>22</v>
      </c>
    </row>
    <row r="12" customFormat="false" ht="15" hidden="false" customHeight="false" outlineLevel="0" collapsed="false">
      <c r="A12" s="20" t="s">
        <v>24</v>
      </c>
      <c r="B12" s="21"/>
      <c r="C12" s="22" t="n">
        <v>1</v>
      </c>
      <c r="D12" s="20" t="n">
        <f aca="false">COUNTIF(E12:AZ12,"x")</f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51"/>
      <c r="V12" s="24"/>
      <c r="W12" s="24"/>
      <c r="X12" s="24"/>
      <c r="Y12" s="24"/>
      <c r="Z12" s="24"/>
      <c r="AA12" s="24"/>
      <c r="AB12" s="24"/>
      <c r="AN12" s="52"/>
      <c r="AO12" s="23" t="s">
        <v>22</v>
      </c>
      <c r="AP12" s="23" t="s">
        <v>22</v>
      </c>
      <c r="AQ12" s="23" t="s">
        <v>22</v>
      </c>
      <c r="AR12" s="23" t="s">
        <v>22</v>
      </c>
      <c r="AS12" s="23" t="s">
        <v>22</v>
      </c>
      <c r="AT12" s="23" t="s">
        <v>22</v>
      </c>
      <c r="AU12" s="23" t="s">
        <v>22</v>
      </c>
      <c r="AV12" s="23" t="s">
        <v>22</v>
      </c>
    </row>
    <row r="13" customFormat="false" ht="15" hidden="false" customHeight="false" outlineLevel="0" collapsed="false">
      <c r="A13" s="20" t="s">
        <v>25</v>
      </c>
      <c r="B13" s="21"/>
      <c r="C13" s="22" t="n">
        <v>1</v>
      </c>
      <c r="D13" s="20" t="n">
        <f aca="false">COUNTIF(E13:AZ13,"x")</f>
        <v>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O13" s="23" t="s">
        <v>22</v>
      </c>
      <c r="AP13" s="23" t="s">
        <v>22</v>
      </c>
      <c r="AQ13" s="23" t="s">
        <v>22</v>
      </c>
      <c r="AR13" s="23" t="s">
        <v>22</v>
      </c>
      <c r="AS13" s="23" t="s">
        <v>22</v>
      </c>
      <c r="AT13" s="23" t="s">
        <v>22</v>
      </c>
      <c r="AU13" s="23" t="s">
        <v>22</v>
      </c>
      <c r="AV13" s="23" t="s">
        <v>22</v>
      </c>
    </row>
    <row r="14" customFormat="false" ht="15" hidden="false" customHeight="false" outlineLevel="0" collapsed="false">
      <c r="A14" s="20" t="s">
        <v>26</v>
      </c>
      <c r="B14" s="21"/>
      <c r="C14" s="22" t="n">
        <v>1</v>
      </c>
      <c r="D14" s="20" t="n">
        <f aca="false">COUNTIF(E14:AZ14,"x")</f>
        <v>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5"/>
      <c r="V14" s="24"/>
      <c r="W14" s="24"/>
      <c r="X14" s="24"/>
      <c r="Y14" s="24"/>
      <c r="Z14" s="24"/>
      <c r="AA14" s="24"/>
      <c r="AB14" s="24"/>
      <c r="AN14" s="26"/>
      <c r="AO14" s="23" t="s">
        <v>22</v>
      </c>
      <c r="AP14" s="23" t="s">
        <v>22</v>
      </c>
      <c r="AQ14" s="23" t="s">
        <v>22</v>
      </c>
      <c r="AR14" s="23" t="s">
        <v>22</v>
      </c>
      <c r="AS14" s="23" t="s">
        <v>22</v>
      </c>
      <c r="AT14" s="23" t="s">
        <v>22</v>
      </c>
      <c r="AU14" s="23" t="s">
        <v>22</v>
      </c>
      <c r="AV14" s="23" t="s">
        <v>22</v>
      </c>
    </row>
    <row r="15" customFormat="false" ht="15" hidden="false" customHeight="false" outlineLevel="0" collapsed="false">
      <c r="A15" s="27" t="s">
        <v>27</v>
      </c>
      <c r="B15" s="28" t="n">
        <v>45987</v>
      </c>
      <c r="C15" s="29" t="n">
        <f aca="false">SUM(C16:C18)/COUNTA(C16:C18)</f>
        <v>1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</row>
    <row r="16" customFormat="false" ht="15" hidden="false" customHeight="false" outlineLevel="0" collapsed="false">
      <c r="A16" s="31" t="s">
        <v>28</v>
      </c>
      <c r="B16" s="32"/>
      <c r="C16" s="33" t="n">
        <v>1</v>
      </c>
      <c r="D16" s="31" t="n">
        <f aca="false">COUNTIF(E16:AZ16,"x")</f>
        <v>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51"/>
      <c r="V16" s="24"/>
      <c r="W16" s="24"/>
      <c r="X16" s="24"/>
      <c r="Y16" s="24"/>
      <c r="Z16" s="24"/>
      <c r="AA16" s="24"/>
      <c r="AB16" s="24"/>
      <c r="AN16" s="52"/>
      <c r="AO16" s="23" t="s">
        <v>22</v>
      </c>
      <c r="AP16" s="23" t="s">
        <v>22</v>
      </c>
      <c r="AQ16" s="23" t="s">
        <v>22</v>
      </c>
      <c r="AR16" s="23" t="s">
        <v>22</v>
      </c>
      <c r="AS16" s="23" t="s">
        <v>22</v>
      </c>
      <c r="AT16" s="23" t="s">
        <v>22</v>
      </c>
      <c r="AU16" s="23" t="s">
        <v>22</v>
      </c>
      <c r="AV16" s="23" t="s">
        <v>22</v>
      </c>
    </row>
    <row r="17" customFormat="false" ht="15" hidden="false" customHeight="false" outlineLevel="0" collapsed="false">
      <c r="A17" s="31" t="s">
        <v>29</v>
      </c>
      <c r="B17" s="32"/>
      <c r="C17" s="33" t="n">
        <v>1</v>
      </c>
      <c r="D17" s="31" t="n">
        <f aca="false">COUNTIF(E17:AZ17,"x")</f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51"/>
      <c r="V17" s="24"/>
      <c r="W17" s="24"/>
      <c r="X17" s="24"/>
      <c r="Y17" s="24"/>
      <c r="Z17" s="24"/>
      <c r="AA17" s="24"/>
      <c r="AB17" s="24"/>
      <c r="AN17" s="52"/>
      <c r="AO17" s="23" t="s">
        <v>22</v>
      </c>
      <c r="AP17" s="23" t="s">
        <v>22</v>
      </c>
      <c r="AQ17" s="23" t="s">
        <v>22</v>
      </c>
      <c r="AR17" s="23" t="s">
        <v>22</v>
      </c>
      <c r="AS17" s="23" t="s">
        <v>22</v>
      </c>
      <c r="AT17" s="23" t="s">
        <v>22</v>
      </c>
      <c r="AU17" s="23" t="s">
        <v>22</v>
      </c>
      <c r="AV17" s="23" t="s">
        <v>22</v>
      </c>
    </row>
    <row r="18" customFormat="false" ht="15" hidden="false" customHeight="false" outlineLevel="0" collapsed="false">
      <c r="A18" s="31" t="s">
        <v>30</v>
      </c>
      <c r="B18" s="32"/>
      <c r="C18" s="33" t="n">
        <v>1</v>
      </c>
      <c r="D18" s="31" t="n">
        <f aca="false">COUNTIF(E18:AZ18,"x")</f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51"/>
      <c r="V18" s="24"/>
      <c r="W18" s="24"/>
      <c r="X18" s="24"/>
      <c r="Y18" s="24"/>
      <c r="Z18" s="24"/>
      <c r="AA18" s="24"/>
      <c r="AB18" s="24"/>
      <c r="AN18" s="52"/>
      <c r="AO18" s="23" t="s">
        <v>22</v>
      </c>
      <c r="AP18" s="23" t="s">
        <v>22</v>
      </c>
      <c r="AQ18" s="23" t="s">
        <v>22</v>
      </c>
      <c r="AR18" s="23" t="s">
        <v>22</v>
      </c>
      <c r="AS18" s="23" t="s">
        <v>22</v>
      </c>
      <c r="AT18" s="23" t="s">
        <v>22</v>
      </c>
      <c r="AU18" s="23" t="s">
        <v>22</v>
      </c>
      <c r="AV18" s="23" t="s">
        <v>22</v>
      </c>
    </row>
    <row r="19" customFormat="false" ht="15" hidden="false" customHeight="false" outlineLevel="0" collapsed="false">
      <c r="A19" s="34" t="s">
        <v>31</v>
      </c>
      <c r="B19" s="35" t="n">
        <v>45703</v>
      </c>
      <c r="C19" s="36" t="n">
        <f aca="false">SUM(C20:C23)/COUNTA(C20:C23)</f>
        <v>1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</row>
    <row r="20" customFormat="false" ht="15" hidden="false" customHeight="false" outlineLevel="0" collapsed="false">
      <c r="A20" s="38" t="s">
        <v>32</v>
      </c>
      <c r="B20" s="39"/>
      <c r="C20" s="40" t="n">
        <v>1</v>
      </c>
      <c r="D20" s="38" t="n">
        <f aca="false">COUNTIF(E20:AZ20,"x")</f>
        <v>2</v>
      </c>
      <c r="E20" s="24" t="s">
        <v>23</v>
      </c>
      <c r="F20" s="24"/>
      <c r="G20" s="24"/>
      <c r="H20" s="24"/>
      <c r="I20" s="24" t="s">
        <v>23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O20" s="23" t="s">
        <v>22</v>
      </c>
      <c r="AP20" s="23" t="s">
        <v>22</v>
      </c>
      <c r="AQ20" s="23" t="s">
        <v>22</v>
      </c>
      <c r="AR20" s="23" t="s">
        <v>22</v>
      </c>
      <c r="AS20" s="23" t="s">
        <v>22</v>
      </c>
      <c r="AT20" s="23" t="s">
        <v>22</v>
      </c>
      <c r="AU20" s="23" t="s">
        <v>22</v>
      </c>
      <c r="AV20" s="23" t="s">
        <v>22</v>
      </c>
    </row>
    <row r="21" customFormat="false" ht="15" hidden="false" customHeight="false" outlineLevel="0" collapsed="false">
      <c r="A21" s="38" t="s">
        <v>33</v>
      </c>
      <c r="B21" s="39"/>
      <c r="C21" s="40" t="n">
        <v>1</v>
      </c>
      <c r="D21" s="38" t="n">
        <f aca="false">COUNTIF(E21:AZ21,"x")</f>
        <v>2</v>
      </c>
      <c r="E21" s="24"/>
      <c r="F21" s="24" t="s">
        <v>23</v>
      </c>
      <c r="G21" s="24"/>
      <c r="H21" s="24"/>
      <c r="I21" s="24"/>
      <c r="J21" s="24" t="s">
        <v>23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O21" s="23" t="s">
        <v>22</v>
      </c>
      <c r="AP21" s="23" t="s">
        <v>22</v>
      </c>
      <c r="AQ21" s="23" t="s">
        <v>22</v>
      </c>
      <c r="AR21" s="23" t="s">
        <v>22</v>
      </c>
      <c r="AS21" s="23" t="s">
        <v>22</v>
      </c>
      <c r="AT21" s="23" t="s">
        <v>22</v>
      </c>
      <c r="AU21" s="23" t="s">
        <v>22</v>
      </c>
      <c r="AV21" s="23" t="s">
        <v>22</v>
      </c>
    </row>
    <row r="22" customFormat="false" ht="15" hidden="false" customHeight="false" outlineLevel="0" collapsed="false">
      <c r="A22" s="38" t="s">
        <v>34</v>
      </c>
      <c r="B22" s="39"/>
      <c r="C22" s="40" t="n">
        <v>1</v>
      </c>
      <c r="D22" s="38" t="n">
        <f aca="false">COUNTIF(E22:AZ22,"x")</f>
        <v>1</v>
      </c>
      <c r="E22" s="24"/>
      <c r="F22" s="24"/>
      <c r="G22" s="24" t="s">
        <v>23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O22" s="23" t="s">
        <v>22</v>
      </c>
      <c r="AP22" s="23" t="s">
        <v>22</v>
      </c>
      <c r="AQ22" s="23" t="s">
        <v>22</v>
      </c>
      <c r="AR22" s="23" t="s">
        <v>22</v>
      </c>
      <c r="AS22" s="23" t="s">
        <v>22</v>
      </c>
      <c r="AT22" s="23" t="s">
        <v>22</v>
      </c>
      <c r="AU22" s="23" t="s">
        <v>22</v>
      </c>
      <c r="AV22" s="23" t="s">
        <v>22</v>
      </c>
    </row>
    <row r="23" customFormat="false" ht="15" hidden="false" customHeight="false" outlineLevel="0" collapsed="false">
      <c r="A23" s="38" t="s">
        <v>35</v>
      </c>
      <c r="B23" s="39"/>
      <c r="C23" s="40" t="n">
        <v>1</v>
      </c>
      <c r="D23" s="38" t="n">
        <f aca="false">COUNTIF(E23:AZ23,"x")</f>
        <v>5</v>
      </c>
      <c r="E23" s="24" t="s">
        <v>23</v>
      </c>
      <c r="F23" s="24" t="s">
        <v>23</v>
      </c>
      <c r="G23" s="24" t="s">
        <v>23</v>
      </c>
      <c r="H23" s="24" t="s">
        <v>23</v>
      </c>
      <c r="I23" s="24"/>
      <c r="J23" s="24" t="s">
        <v>23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O23" s="23" t="s">
        <v>22</v>
      </c>
      <c r="AP23" s="23" t="s">
        <v>22</v>
      </c>
      <c r="AQ23" s="23" t="s">
        <v>22</v>
      </c>
      <c r="AR23" s="23" t="s">
        <v>22</v>
      </c>
      <c r="AS23" s="23" t="s">
        <v>22</v>
      </c>
      <c r="AT23" s="23" t="s">
        <v>22</v>
      </c>
      <c r="AU23" s="23" t="s">
        <v>22</v>
      </c>
      <c r="AV23" s="23" t="s">
        <v>22</v>
      </c>
    </row>
    <row r="24" customFormat="false" ht="15" hidden="false" customHeight="false" outlineLevel="0" collapsed="false">
      <c r="A24" s="41" t="s">
        <v>36</v>
      </c>
      <c r="B24" s="42" t="n">
        <v>45715</v>
      </c>
      <c r="C24" s="43" t="n">
        <f aca="false">SUM(C25:C29)/COUNTA(C25:C29)</f>
        <v>1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</row>
    <row r="25" customFormat="false" ht="15" hidden="false" customHeight="false" outlineLevel="0" collapsed="false">
      <c r="A25" s="45" t="s">
        <v>37</v>
      </c>
      <c r="B25" s="46"/>
      <c r="C25" s="47" t="n">
        <v>1</v>
      </c>
      <c r="D25" s="45" t="n">
        <f aca="false">COUNTIF(E25:AZ25,"x")</f>
        <v>2</v>
      </c>
      <c r="E25" s="24"/>
      <c r="F25" s="24"/>
      <c r="G25" s="24"/>
      <c r="H25" s="24"/>
      <c r="I25" s="24" t="s">
        <v>23</v>
      </c>
      <c r="J25" s="24" t="s">
        <v>23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51"/>
      <c r="V25" s="24"/>
      <c r="W25" s="24"/>
      <c r="X25" s="24"/>
      <c r="Y25" s="24"/>
      <c r="Z25" s="24"/>
      <c r="AA25" s="24"/>
      <c r="AB25" s="24"/>
      <c r="AN25" s="52"/>
      <c r="AO25" s="23" t="s">
        <v>22</v>
      </c>
      <c r="AP25" s="23" t="s">
        <v>22</v>
      </c>
      <c r="AQ25" s="23" t="s">
        <v>22</v>
      </c>
      <c r="AR25" s="23" t="s">
        <v>22</v>
      </c>
      <c r="AS25" s="23" t="s">
        <v>22</v>
      </c>
      <c r="AT25" s="23" t="s">
        <v>22</v>
      </c>
      <c r="AU25" s="23" t="s">
        <v>22</v>
      </c>
      <c r="AV25" s="23" t="s">
        <v>22</v>
      </c>
    </row>
    <row r="26" customFormat="false" ht="15" hidden="false" customHeight="false" outlineLevel="0" collapsed="false">
      <c r="A26" s="45" t="s">
        <v>38</v>
      </c>
      <c r="B26" s="46"/>
      <c r="C26" s="47" t="n">
        <v>1</v>
      </c>
      <c r="D26" s="45" t="n">
        <f aca="false">COUNTIF(E26:AZ26,"x")</f>
        <v>2</v>
      </c>
      <c r="E26" s="24"/>
      <c r="F26" s="24"/>
      <c r="G26" s="24"/>
      <c r="H26" s="24"/>
      <c r="I26" s="24"/>
      <c r="J26" s="24"/>
      <c r="K26" s="24" t="s">
        <v>23</v>
      </c>
      <c r="L26" s="24" t="s">
        <v>23</v>
      </c>
      <c r="M26" s="24"/>
      <c r="N26" s="24"/>
      <c r="O26" s="24"/>
      <c r="P26" s="24"/>
      <c r="Q26" s="24"/>
      <c r="R26" s="24"/>
      <c r="S26" s="24"/>
      <c r="T26" s="24"/>
      <c r="U26" s="51"/>
      <c r="V26" s="24"/>
      <c r="W26" s="24"/>
      <c r="X26" s="24"/>
      <c r="Y26" s="24"/>
      <c r="Z26" s="24"/>
      <c r="AA26" s="24"/>
      <c r="AB26" s="24"/>
      <c r="AN26" s="52"/>
      <c r="AO26" s="23" t="s">
        <v>22</v>
      </c>
      <c r="AP26" s="23" t="s">
        <v>22</v>
      </c>
      <c r="AQ26" s="23" t="s">
        <v>22</v>
      </c>
      <c r="AR26" s="23" t="s">
        <v>22</v>
      </c>
      <c r="AS26" s="23" t="s">
        <v>22</v>
      </c>
      <c r="AT26" s="23" t="s">
        <v>22</v>
      </c>
      <c r="AU26" s="23" t="s">
        <v>22</v>
      </c>
      <c r="AV26" s="23" t="s">
        <v>22</v>
      </c>
    </row>
    <row r="27" customFormat="false" ht="15" hidden="false" customHeight="false" outlineLevel="0" collapsed="false">
      <c r="A27" s="45" t="s">
        <v>39</v>
      </c>
      <c r="B27" s="46"/>
      <c r="C27" s="47" t="n">
        <v>1</v>
      </c>
      <c r="D27" s="45" t="n">
        <f aca="false">COUNTIF(E27:AZ27,"x")</f>
        <v>3</v>
      </c>
      <c r="E27" s="24"/>
      <c r="F27" s="24"/>
      <c r="G27" s="24"/>
      <c r="H27" s="24"/>
      <c r="I27" s="24" t="s">
        <v>23</v>
      </c>
      <c r="J27" s="24" t="s">
        <v>23</v>
      </c>
      <c r="K27" s="24"/>
      <c r="L27" s="24" t="s">
        <v>23</v>
      </c>
      <c r="M27" s="24"/>
      <c r="N27" s="24"/>
      <c r="O27" s="24"/>
      <c r="P27" s="24"/>
      <c r="Q27" s="24"/>
      <c r="R27" s="24"/>
      <c r="S27" s="24"/>
      <c r="T27" s="24"/>
      <c r="U27" s="51"/>
      <c r="V27" s="24"/>
      <c r="W27" s="24"/>
      <c r="X27" s="24"/>
      <c r="Y27" s="24"/>
      <c r="Z27" s="24"/>
      <c r="AA27" s="24"/>
      <c r="AB27" s="24"/>
      <c r="AN27" s="52"/>
      <c r="AO27" s="23" t="s">
        <v>22</v>
      </c>
      <c r="AP27" s="23" t="s">
        <v>22</v>
      </c>
      <c r="AQ27" s="23" t="s">
        <v>22</v>
      </c>
      <c r="AR27" s="23" t="s">
        <v>22</v>
      </c>
      <c r="AS27" s="23" t="s">
        <v>22</v>
      </c>
      <c r="AT27" s="23" t="s">
        <v>22</v>
      </c>
      <c r="AU27" s="23" t="s">
        <v>22</v>
      </c>
      <c r="AV27" s="23" t="s">
        <v>22</v>
      </c>
    </row>
    <row r="28" customFormat="false" ht="15" hidden="false" customHeight="false" outlineLevel="0" collapsed="false">
      <c r="A28" s="45" t="s">
        <v>40</v>
      </c>
      <c r="B28" s="46"/>
      <c r="C28" s="47" t="n">
        <v>1</v>
      </c>
      <c r="D28" s="45" t="n">
        <f aca="false">COUNTIF(E28:AZ28,"x")</f>
        <v>2</v>
      </c>
      <c r="E28" s="24"/>
      <c r="F28" s="24"/>
      <c r="G28" s="24"/>
      <c r="H28" s="24"/>
      <c r="I28" s="24"/>
      <c r="J28" s="24"/>
      <c r="K28" s="24" t="s">
        <v>23</v>
      </c>
      <c r="L28" s="24" t="s">
        <v>23</v>
      </c>
      <c r="M28" s="24"/>
      <c r="N28" s="24"/>
      <c r="O28" s="24"/>
      <c r="P28" s="24"/>
      <c r="Q28" s="24"/>
      <c r="R28" s="24"/>
      <c r="S28" s="24"/>
      <c r="T28" s="24"/>
      <c r="U28" s="51"/>
      <c r="V28" s="24"/>
      <c r="W28" s="24"/>
      <c r="X28" s="24"/>
      <c r="Y28" s="24"/>
      <c r="Z28" s="24"/>
      <c r="AA28" s="24"/>
      <c r="AB28" s="24"/>
      <c r="AN28" s="52"/>
      <c r="AO28" s="23" t="s">
        <v>22</v>
      </c>
      <c r="AP28" s="23" t="s">
        <v>22</v>
      </c>
      <c r="AQ28" s="23" t="s">
        <v>22</v>
      </c>
      <c r="AR28" s="23" t="s">
        <v>22</v>
      </c>
      <c r="AS28" s="23" t="s">
        <v>22</v>
      </c>
      <c r="AT28" s="23" t="s">
        <v>22</v>
      </c>
      <c r="AU28" s="23" t="s">
        <v>22</v>
      </c>
      <c r="AV28" s="23" t="s">
        <v>22</v>
      </c>
    </row>
    <row r="29" customFormat="false" ht="15" hidden="false" customHeight="false" outlineLevel="0" collapsed="false">
      <c r="A29" s="45" t="s">
        <v>41</v>
      </c>
      <c r="B29" s="46"/>
      <c r="C29" s="47" t="n">
        <v>1</v>
      </c>
      <c r="D29" s="45" t="n">
        <f aca="false">COUNTIF(E29:AZ29,"x")</f>
        <v>2</v>
      </c>
      <c r="E29" s="24"/>
      <c r="F29" s="24"/>
      <c r="G29" s="24"/>
      <c r="H29" s="24"/>
      <c r="I29" s="24"/>
      <c r="J29" s="24"/>
      <c r="K29" s="24" t="s">
        <v>23</v>
      </c>
      <c r="L29" s="24" t="s">
        <v>23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O29" s="23" t="s">
        <v>22</v>
      </c>
      <c r="AP29" s="23" t="s">
        <v>22</v>
      </c>
      <c r="AQ29" s="23" t="s">
        <v>22</v>
      </c>
      <c r="AR29" s="23" t="s">
        <v>22</v>
      </c>
      <c r="AS29" s="23" t="s">
        <v>22</v>
      </c>
      <c r="AT29" s="23" t="s">
        <v>22</v>
      </c>
      <c r="AU29" s="23" t="s">
        <v>22</v>
      </c>
      <c r="AV29" s="23" t="s">
        <v>22</v>
      </c>
    </row>
    <row r="30" customFormat="false" ht="15" hidden="false" customHeight="false" outlineLevel="0" collapsed="false">
      <c r="A30" s="16" t="s">
        <v>42</v>
      </c>
      <c r="B30" s="17" t="n">
        <v>45887</v>
      </c>
      <c r="C30" s="18" t="n">
        <f aca="false">SUM(C31:C38)/COUNTA(C31:C38)</f>
        <v>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</row>
    <row r="31" customFormat="false" ht="15" hidden="false" customHeight="false" outlineLevel="0" collapsed="false">
      <c r="A31" s="20" t="s">
        <v>43</v>
      </c>
      <c r="B31" s="21"/>
      <c r="C31" s="22" t="n">
        <v>1</v>
      </c>
      <c r="D31" s="20" t="n">
        <f aca="false">COUNTIF(E31:AZ31,"x")</f>
        <v>4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51"/>
      <c r="V31" s="24"/>
      <c r="W31" s="24"/>
      <c r="X31" s="24"/>
      <c r="Y31" s="24"/>
      <c r="Z31" s="24"/>
      <c r="AA31" s="24"/>
      <c r="AB31" s="24"/>
      <c r="AC31" s="24" t="s">
        <v>23</v>
      </c>
      <c r="AD31" s="24"/>
      <c r="AE31" s="24" t="s">
        <v>23</v>
      </c>
      <c r="AF31" s="24"/>
      <c r="AG31" s="24" t="s">
        <v>23</v>
      </c>
      <c r="AH31" s="24" t="s">
        <v>23</v>
      </c>
      <c r="AN31" s="52"/>
      <c r="AO31" s="23" t="s">
        <v>22</v>
      </c>
      <c r="AP31" s="23" t="s">
        <v>22</v>
      </c>
      <c r="AQ31" s="23" t="s">
        <v>22</v>
      </c>
      <c r="AR31" s="23" t="s">
        <v>22</v>
      </c>
      <c r="AS31" s="23" t="s">
        <v>22</v>
      </c>
      <c r="AT31" s="23" t="s">
        <v>22</v>
      </c>
      <c r="AU31" s="23" t="s">
        <v>22</v>
      </c>
      <c r="AV31" s="23" t="s">
        <v>22</v>
      </c>
    </row>
    <row r="32" customFormat="false" ht="15" hidden="false" customHeight="false" outlineLevel="0" collapsed="false">
      <c r="A32" s="20" t="s">
        <v>44</v>
      </c>
      <c r="B32" s="21"/>
      <c r="C32" s="22" t="n">
        <v>1</v>
      </c>
      <c r="D32" s="20" t="n">
        <f aca="false">COUNTIF(E32:AZ32,"x")</f>
        <v>4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51"/>
      <c r="V32" s="24"/>
      <c r="W32" s="24"/>
      <c r="X32" s="24"/>
      <c r="Y32" s="24"/>
      <c r="Z32" s="24"/>
      <c r="AA32" s="24"/>
      <c r="AB32" s="24"/>
      <c r="AC32" s="24" t="s">
        <v>23</v>
      </c>
      <c r="AD32" s="24" t="s">
        <v>23</v>
      </c>
      <c r="AE32" s="24"/>
      <c r="AF32" s="24"/>
      <c r="AG32" s="24" t="s">
        <v>23</v>
      </c>
      <c r="AH32" s="24" t="s">
        <v>23</v>
      </c>
      <c r="AN32" s="52"/>
      <c r="AO32" s="23" t="s">
        <v>22</v>
      </c>
      <c r="AP32" s="23" t="s">
        <v>22</v>
      </c>
      <c r="AQ32" s="23" t="s">
        <v>22</v>
      </c>
      <c r="AR32" s="23" t="s">
        <v>22</v>
      </c>
      <c r="AS32" s="23" t="s">
        <v>22</v>
      </c>
      <c r="AT32" s="23" t="s">
        <v>22</v>
      </c>
      <c r="AU32" s="23" t="s">
        <v>22</v>
      </c>
      <c r="AV32" s="23" t="s">
        <v>22</v>
      </c>
    </row>
    <row r="33" customFormat="false" ht="15" hidden="false" customHeight="false" outlineLevel="0" collapsed="false">
      <c r="A33" s="20" t="s">
        <v>45</v>
      </c>
      <c r="B33" s="21"/>
      <c r="C33" s="22" t="n">
        <v>1</v>
      </c>
      <c r="D33" s="20" t="n">
        <f aca="false">COUNTIF(E33:AZ33,"x")</f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51"/>
      <c r="V33" s="24"/>
      <c r="W33" s="24"/>
      <c r="X33" s="24"/>
      <c r="Y33" s="24"/>
      <c r="Z33" s="24"/>
      <c r="AA33" s="24"/>
      <c r="AB33" s="24" t="s">
        <v>23</v>
      </c>
      <c r="AC33" s="24" t="s">
        <v>23</v>
      </c>
      <c r="AD33" s="24" t="s">
        <v>23</v>
      </c>
      <c r="AE33" s="24" t="s">
        <v>23</v>
      </c>
      <c r="AF33" s="24" t="s">
        <v>23</v>
      </c>
      <c r="AG33" s="24"/>
      <c r="AH33" s="24" t="s">
        <v>23</v>
      </c>
      <c r="AN33" s="52"/>
      <c r="AO33" s="23" t="s">
        <v>22</v>
      </c>
      <c r="AP33" s="23" t="s">
        <v>22</v>
      </c>
      <c r="AQ33" s="23" t="s">
        <v>22</v>
      </c>
      <c r="AR33" s="23" t="s">
        <v>22</v>
      </c>
      <c r="AS33" s="23" t="s">
        <v>22</v>
      </c>
      <c r="AT33" s="23" t="s">
        <v>22</v>
      </c>
      <c r="AU33" s="23" t="s">
        <v>22</v>
      </c>
      <c r="AV33" s="23" t="s">
        <v>22</v>
      </c>
    </row>
    <row r="34" customFormat="false" ht="15" hidden="false" customHeight="false" outlineLevel="0" collapsed="false">
      <c r="A34" s="27" t="s">
        <v>46</v>
      </c>
      <c r="B34" s="28" t="n">
        <v>45779</v>
      </c>
      <c r="C34" s="29" t="n">
        <f aca="false">SUM(C35:C38)/COUNTA(C35:C38)</f>
        <v>1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</row>
    <row r="35" customFormat="false" ht="15" hidden="false" customHeight="false" outlineLevel="0" collapsed="false">
      <c r="A35" s="31" t="s">
        <v>47</v>
      </c>
      <c r="B35" s="32"/>
      <c r="C35" s="33" t="n">
        <v>1</v>
      </c>
      <c r="D35" s="31" t="n">
        <f aca="false">COUNTIF(E35:AZ35,"x")</f>
        <v>5</v>
      </c>
      <c r="E35" s="24"/>
      <c r="F35" s="24"/>
      <c r="G35" s="24"/>
      <c r="H35" s="24"/>
      <c r="I35" s="24"/>
      <c r="J35" s="24"/>
      <c r="K35" s="24"/>
      <c r="L35" s="24" t="s">
        <v>23</v>
      </c>
      <c r="M35" s="24" t="s">
        <v>23</v>
      </c>
      <c r="N35" s="24" t="s">
        <v>23</v>
      </c>
      <c r="O35" s="24" t="s">
        <v>23</v>
      </c>
      <c r="P35" s="24"/>
      <c r="Q35" s="24"/>
      <c r="R35" s="24"/>
      <c r="S35" s="24"/>
      <c r="T35" s="24" t="s">
        <v>23</v>
      </c>
      <c r="U35" s="24"/>
      <c r="V35" s="24"/>
      <c r="W35" s="24"/>
      <c r="X35" s="24"/>
      <c r="Y35" s="24"/>
      <c r="Z35" s="24"/>
      <c r="AA35" s="24"/>
      <c r="AB35" s="24"/>
      <c r="AO35" s="23" t="s">
        <v>22</v>
      </c>
      <c r="AP35" s="23" t="s">
        <v>22</v>
      </c>
      <c r="AQ35" s="23" t="s">
        <v>22</v>
      </c>
      <c r="AR35" s="23" t="s">
        <v>22</v>
      </c>
      <c r="AS35" s="23" t="s">
        <v>22</v>
      </c>
      <c r="AT35" s="23" t="s">
        <v>22</v>
      </c>
      <c r="AU35" s="23" t="s">
        <v>22</v>
      </c>
      <c r="AV35" s="23" t="s">
        <v>22</v>
      </c>
    </row>
    <row r="36" customFormat="false" ht="15" hidden="false" customHeight="false" outlineLevel="0" collapsed="false">
      <c r="A36" s="31" t="s">
        <v>48</v>
      </c>
      <c r="B36" s="32"/>
      <c r="C36" s="33" t="n">
        <v>1</v>
      </c>
      <c r="D36" s="31" t="n">
        <f aca="false">COUNTIF(E36:AZ36,"x")</f>
        <v>5</v>
      </c>
      <c r="E36" s="24"/>
      <c r="F36" s="24"/>
      <c r="G36" s="24"/>
      <c r="H36" s="24"/>
      <c r="I36" s="24"/>
      <c r="J36" s="24"/>
      <c r="K36" s="24"/>
      <c r="L36" s="24"/>
      <c r="M36" s="24"/>
      <c r="N36" s="24" t="s">
        <v>23</v>
      </c>
      <c r="O36" s="24" t="s">
        <v>23</v>
      </c>
      <c r="P36" s="24" t="s">
        <v>23</v>
      </c>
      <c r="Q36" s="24" t="s">
        <v>23</v>
      </c>
      <c r="R36" s="24"/>
      <c r="S36" s="24"/>
      <c r="T36" s="24"/>
      <c r="U36" s="24" t="s">
        <v>23</v>
      </c>
      <c r="V36" s="24"/>
      <c r="W36" s="24"/>
      <c r="X36" s="24"/>
      <c r="Y36" s="24"/>
      <c r="Z36" s="24"/>
      <c r="AA36" s="24"/>
      <c r="AB36" s="24"/>
      <c r="AN36" s="26"/>
      <c r="AO36" s="23" t="s">
        <v>22</v>
      </c>
      <c r="AP36" s="23" t="s">
        <v>22</v>
      </c>
      <c r="AQ36" s="23" t="s">
        <v>22</v>
      </c>
      <c r="AR36" s="23" t="s">
        <v>22</v>
      </c>
      <c r="AS36" s="23" t="s">
        <v>22</v>
      </c>
      <c r="AT36" s="23" t="s">
        <v>22</v>
      </c>
      <c r="AU36" s="23" t="s">
        <v>22</v>
      </c>
      <c r="AV36" s="23" t="s">
        <v>22</v>
      </c>
    </row>
    <row r="37" customFormat="false" ht="15" hidden="false" customHeight="false" outlineLevel="0" collapsed="false">
      <c r="A37" s="31" t="s">
        <v>49</v>
      </c>
      <c r="B37" s="32"/>
      <c r="C37" s="33" t="n">
        <v>1</v>
      </c>
      <c r="D37" s="31" t="n">
        <f aca="false">COUNTIF(E37:AZ37,"x")</f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 t="s">
        <v>23</v>
      </c>
      <c r="Q37" s="24" t="s">
        <v>23</v>
      </c>
      <c r="R37" s="24" t="s">
        <v>23</v>
      </c>
      <c r="S37" s="24" t="s">
        <v>23</v>
      </c>
      <c r="T37" s="24" t="s">
        <v>23</v>
      </c>
      <c r="U37" s="24" t="s">
        <v>23</v>
      </c>
      <c r="V37" s="24"/>
      <c r="W37" s="24"/>
      <c r="X37" s="24"/>
      <c r="Y37" s="24"/>
      <c r="Z37" s="24"/>
      <c r="AA37" s="24"/>
      <c r="AB37" s="24"/>
      <c r="AN37" s="52"/>
      <c r="AO37" s="23" t="s">
        <v>22</v>
      </c>
      <c r="AP37" s="23" t="s">
        <v>22</v>
      </c>
      <c r="AQ37" s="23" t="s">
        <v>22</v>
      </c>
      <c r="AR37" s="23" t="s">
        <v>22</v>
      </c>
      <c r="AS37" s="23" t="s">
        <v>22</v>
      </c>
      <c r="AT37" s="23" t="s">
        <v>22</v>
      </c>
      <c r="AU37" s="23" t="s">
        <v>22</v>
      </c>
      <c r="AV37" s="23" t="s">
        <v>22</v>
      </c>
    </row>
    <row r="38" customFormat="false" ht="15" hidden="false" customHeight="false" outlineLevel="0" collapsed="false">
      <c r="A38" s="31" t="s">
        <v>50</v>
      </c>
      <c r="B38" s="32"/>
      <c r="C38" s="33" t="n">
        <v>1</v>
      </c>
      <c r="D38" s="31" t="n">
        <f aca="false">COUNTIF(E38:AZ38,"x")</f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 t="s">
        <v>23</v>
      </c>
      <c r="Q38" s="24" t="s">
        <v>23</v>
      </c>
      <c r="R38" s="24" t="s">
        <v>23</v>
      </c>
      <c r="S38" s="24" t="s">
        <v>23</v>
      </c>
      <c r="T38" s="24" t="s">
        <v>23</v>
      </c>
      <c r="U38" s="24" t="s">
        <v>23</v>
      </c>
      <c r="V38" s="24"/>
      <c r="W38" s="24"/>
      <c r="X38" s="24"/>
      <c r="Y38" s="24"/>
      <c r="Z38" s="24"/>
      <c r="AA38" s="24"/>
      <c r="AB38" s="24"/>
      <c r="AN38" s="52"/>
      <c r="AO38" s="23" t="s">
        <v>22</v>
      </c>
      <c r="AP38" s="23" t="s">
        <v>22</v>
      </c>
      <c r="AQ38" s="23" t="s">
        <v>22</v>
      </c>
      <c r="AR38" s="23" t="s">
        <v>22</v>
      </c>
      <c r="AS38" s="23" t="s">
        <v>22</v>
      </c>
      <c r="AT38" s="23" t="s">
        <v>22</v>
      </c>
      <c r="AU38" s="23" t="s">
        <v>22</v>
      </c>
      <c r="AV38" s="23" t="s">
        <v>22</v>
      </c>
    </row>
    <row r="39" customFormat="false" ht="15" hidden="false" customHeight="false" outlineLevel="0" collapsed="false">
      <c r="A39" s="34" t="s">
        <v>51</v>
      </c>
      <c r="B39" s="35" t="n">
        <v>45836</v>
      </c>
      <c r="C39" s="36" t="n">
        <f aca="false">SUM(C40:C43)/COUNTA(C40:C43)</f>
        <v>1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customFormat="false" ht="15" hidden="false" customHeight="false" outlineLevel="0" collapsed="false">
      <c r="A40" s="38" t="s">
        <v>52</v>
      </c>
      <c r="B40" s="39"/>
      <c r="C40" s="40" t="n">
        <v>1</v>
      </c>
      <c r="D40" s="38" t="n">
        <f aca="false">COUNTIF(E40:AZ40,"x")</f>
        <v>4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 t="s">
        <v>23</v>
      </c>
      <c r="W40" s="24" t="s">
        <v>23</v>
      </c>
      <c r="X40" s="24" t="s">
        <v>23</v>
      </c>
      <c r="Y40" s="24"/>
      <c r="Z40" s="24"/>
      <c r="AA40" s="24"/>
      <c r="AB40" s="24" t="s">
        <v>23</v>
      </c>
      <c r="AN40" s="52"/>
      <c r="AO40" s="23" t="s">
        <v>22</v>
      </c>
      <c r="AP40" s="23" t="s">
        <v>22</v>
      </c>
      <c r="AQ40" s="23" t="s">
        <v>22</v>
      </c>
      <c r="AR40" s="23" t="s">
        <v>22</v>
      </c>
      <c r="AS40" s="23" t="s">
        <v>22</v>
      </c>
      <c r="AT40" s="23" t="s">
        <v>22</v>
      </c>
      <c r="AU40" s="23" t="s">
        <v>22</v>
      </c>
      <c r="AV40" s="23" t="s">
        <v>22</v>
      </c>
    </row>
    <row r="41" customFormat="false" ht="15" hidden="false" customHeight="false" outlineLevel="0" collapsed="false">
      <c r="A41" s="38" t="s">
        <v>53</v>
      </c>
      <c r="B41" s="39"/>
      <c r="C41" s="40" t="n">
        <v>1</v>
      </c>
      <c r="D41" s="38" t="n">
        <f aca="false">COUNTIF(E41:AZ41,"x")</f>
        <v>5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 t="s">
        <v>23</v>
      </c>
      <c r="V41" s="24" t="s">
        <v>23</v>
      </c>
      <c r="W41" s="24" t="s">
        <v>23</v>
      </c>
      <c r="X41" s="24"/>
      <c r="Y41" s="24"/>
      <c r="Z41" s="24"/>
      <c r="AA41" s="24" t="s">
        <v>23</v>
      </c>
      <c r="AB41" s="24" t="s">
        <v>23</v>
      </c>
      <c r="AN41" s="52"/>
      <c r="AO41" s="23" t="s">
        <v>22</v>
      </c>
      <c r="AP41" s="23" t="s">
        <v>22</v>
      </c>
      <c r="AQ41" s="23" t="s">
        <v>22</v>
      </c>
      <c r="AR41" s="23" t="s">
        <v>22</v>
      </c>
      <c r="AS41" s="23" t="s">
        <v>22</v>
      </c>
      <c r="AT41" s="23" t="s">
        <v>22</v>
      </c>
      <c r="AU41" s="23" t="s">
        <v>22</v>
      </c>
      <c r="AV41" s="23" t="s">
        <v>22</v>
      </c>
    </row>
    <row r="42" customFormat="false" ht="15" hidden="false" customHeight="false" outlineLevel="0" collapsed="false">
      <c r="A42" s="38" t="s">
        <v>54</v>
      </c>
      <c r="B42" s="39"/>
      <c r="C42" s="40" t="n">
        <v>1</v>
      </c>
      <c r="D42" s="38" t="n">
        <f aca="false">COUNTIF(E42:AZ42,"x")</f>
        <v>4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 t="s">
        <v>23</v>
      </c>
      <c r="Y42" s="24" t="s">
        <v>23</v>
      </c>
      <c r="Z42" s="24"/>
      <c r="AA42" s="24" t="s">
        <v>23</v>
      </c>
      <c r="AB42" s="24" t="s">
        <v>23</v>
      </c>
      <c r="AN42" s="52"/>
      <c r="AO42" s="23" t="s">
        <v>22</v>
      </c>
      <c r="AP42" s="23" t="s">
        <v>22</v>
      </c>
      <c r="AQ42" s="23" t="s">
        <v>22</v>
      </c>
      <c r="AR42" s="23" t="s">
        <v>22</v>
      </c>
      <c r="AS42" s="23" t="s">
        <v>22</v>
      </c>
      <c r="AT42" s="23" t="s">
        <v>22</v>
      </c>
      <c r="AU42" s="23" t="s">
        <v>22</v>
      </c>
      <c r="AV42" s="23" t="s">
        <v>22</v>
      </c>
    </row>
    <row r="43" customFormat="false" ht="15" hidden="false" customHeight="false" outlineLevel="0" collapsed="false">
      <c r="A43" s="38" t="s">
        <v>55</v>
      </c>
      <c r="B43" s="39"/>
      <c r="C43" s="40" t="n">
        <v>1</v>
      </c>
      <c r="D43" s="38" t="n">
        <f aca="false">COUNTIF(E43:AZ43,"x")</f>
        <v>5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 t="s">
        <v>23</v>
      </c>
      <c r="Y43" s="24" t="s">
        <v>23</v>
      </c>
      <c r="Z43" s="24" t="s">
        <v>23</v>
      </c>
      <c r="AA43" s="24" t="s">
        <v>23</v>
      </c>
      <c r="AB43" s="24" t="s">
        <v>23</v>
      </c>
      <c r="AO43" s="23" t="s">
        <v>22</v>
      </c>
      <c r="AP43" s="23" t="s">
        <v>22</v>
      </c>
      <c r="AQ43" s="23" t="s">
        <v>22</v>
      </c>
      <c r="AR43" s="23" t="s">
        <v>22</v>
      </c>
      <c r="AS43" s="23" t="s">
        <v>22</v>
      </c>
      <c r="AT43" s="23" t="s">
        <v>22</v>
      </c>
      <c r="AU43" s="23" t="s">
        <v>22</v>
      </c>
      <c r="AV43" s="23" t="s">
        <v>22</v>
      </c>
    </row>
    <row r="44" customFormat="false" ht="15" hidden="false" customHeight="false" outlineLevel="0" collapsed="false">
      <c r="A44" s="41" t="s">
        <v>56</v>
      </c>
      <c r="B44" s="42" t="n">
        <v>46063</v>
      </c>
      <c r="C44" s="43" t="n">
        <f aca="false">SUM(C45:C47)/COUNTA(C45:C47)</f>
        <v>1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</row>
    <row r="45" customFormat="false" ht="15" hidden="false" customHeight="false" outlineLevel="0" collapsed="false">
      <c r="A45" s="45" t="s">
        <v>57</v>
      </c>
      <c r="B45" s="46"/>
      <c r="C45" s="47" t="n">
        <v>1</v>
      </c>
      <c r="D45" s="45" t="n">
        <f aca="false">COUNTIF(E45:AZ45,"x")</f>
        <v>8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51"/>
      <c r="V45" s="24"/>
      <c r="W45" s="24"/>
      <c r="X45" s="24"/>
      <c r="Y45" s="24"/>
      <c r="Z45" s="24"/>
      <c r="AA45" s="24"/>
      <c r="AB45" s="24"/>
      <c r="AH45" s="24" t="s">
        <v>23</v>
      </c>
      <c r="AI45" s="24" t="s">
        <v>23</v>
      </c>
      <c r="AJ45" s="24" t="s">
        <v>23</v>
      </c>
      <c r="AK45" s="24" t="s">
        <v>23</v>
      </c>
      <c r="AL45" s="24" t="s">
        <v>23</v>
      </c>
      <c r="AM45" s="24" t="s">
        <v>23</v>
      </c>
      <c r="AN45" s="24" t="s">
        <v>23</v>
      </c>
      <c r="AO45" s="23" t="s">
        <v>22</v>
      </c>
      <c r="AP45" s="23" t="s">
        <v>22</v>
      </c>
      <c r="AQ45" s="23" t="s">
        <v>22</v>
      </c>
      <c r="AR45" s="23" t="s">
        <v>22</v>
      </c>
      <c r="AS45" s="23" t="s">
        <v>22</v>
      </c>
      <c r="AT45" s="23" t="s">
        <v>22</v>
      </c>
      <c r="AU45" s="23" t="s">
        <v>22</v>
      </c>
      <c r="AV45" s="23" t="s">
        <v>22</v>
      </c>
      <c r="AW45" s="24"/>
      <c r="AX45" s="24"/>
      <c r="AY45" s="24"/>
      <c r="AZ45" s="24" t="s">
        <v>23</v>
      </c>
    </row>
    <row r="46" customFormat="false" ht="15" hidden="false" customHeight="false" outlineLevel="0" collapsed="false">
      <c r="A46" s="45" t="s">
        <v>58</v>
      </c>
      <c r="B46" s="46"/>
      <c r="C46" s="47" t="n">
        <v>1</v>
      </c>
      <c r="D46" s="45" t="n">
        <f aca="false">COUNTIF(E46:AZ46,"x")</f>
        <v>4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51"/>
      <c r="V46" s="24"/>
      <c r="W46" s="24"/>
      <c r="X46" s="24"/>
      <c r="Y46" s="24"/>
      <c r="Z46" s="24"/>
      <c r="AA46" s="24"/>
      <c r="AB46" s="24"/>
      <c r="AH46" s="24"/>
      <c r="AI46" s="24"/>
      <c r="AJ46" s="24"/>
      <c r="AK46" s="24"/>
      <c r="AL46" s="24"/>
      <c r="AM46" s="24" t="s">
        <v>23</v>
      </c>
      <c r="AN46" s="24" t="s">
        <v>23</v>
      </c>
      <c r="AO46" s="23" t="s">
        <v>22</v>
      </c>
      <c r="AP46" s="23" t="s">
        <v>22</v>
      </c>
      <c r="AQ46" s="23" t="s">
        <v>22</v>
      </c>
      <c r="AR46" s="23" t="s">
        <v>22</v>
      </c>
      <c r="AS46" s="23" t="s">
        <v>22</v>
      </c>
      <c r="AT46" s="23" t="s">
        <v>22</v>
      </c>
      <c r="AU46" s="23" t="s">
        <v>22</v>
      </c>
      <c r="AV46" s="23" t="s">
        <v>22</v>
      </c>
      <c r="AW46" s="24" t="s">
        <v>23</v>
      </c>
      <c r="AX46" s="24" t="s">
        <v>23</v>
      </c>
      <c r="AY46" s="24"/>
      <c r="AZ46" s="24"/>
    </row>
    <row r="47" customFormat="false" ht="15" hidden="false" customHeight="false" outlineLevel="0" collapsed="false">
      <c r="A47" s="45" t="s">
        <v>59</v>
      </c>
      <c r="B47" s="46"/>
      <c r="C47" s="47" t="n">
        <v>1</v>
      </c>
      <c r="D47" s="45" t="n">
        <f aca="false">COUNTIF(E47:AZ47,"x")</f>
        <v>4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51"/>
      <c r="V47" s="24"/>
      <c r="W47" s="24"/>
      <c r="X47" s="24"/>
      <c r="Y47" s="24"/>
      <c r="Z47" s="24"/>
      <c r="AA47" s="24"/>
      <c r="AB47" s="24"/>
      <c r="AH47" s="24"/>
      <c r="AI47" s="24"/>
      <c r="AJ47" s="24"/>
      <c r="AK47" s="24"/>
      <c r="AL47" s="24"/>
      <c r="AM47" s="24"/>
      <c r="AN47" s="24"/>
      <c r="AO47" s="23" t="s">
        <v>22</v>
      </c>
      <c r="AP47" s="23" t="s">
        <v>22</v>
      </c>
      <c r="AQ47" s="23" t="s">
        <v>22</v>
      </c>
      <c r="AR47" s="23" t="s">
        <v>22</v>
      </c>
      <c r="AS47" s="23" t="s">
        <v>22</v>
      </c>
      <c r="AT47" s="23" t="s">
        <v>22</v>
      </c>
      <c r="AU47" s="23" t="s">
        <v>22</v>
      </c>
      <c r="AV47" s="23" t="s">
        <v>22</v>
      </c>
      <c r="AW47" s="24" t="s">
        <v>23</v>
      </c>
      <c r="AX47" s="24" t="s">
        <v>23</v>
      </c>
      <c r="AY47" s="24" t="s">
        <v>23</v>
      </c>
      <c r="AZ47" s="24" t="s">
        <v>23</v>
      </c>
    </row>
    <row r="48" customFormat="false" ht="15" hidden="false" customHeight="false" outlineLevel="0" collapsed="false">
      <c r="A48" s="16" t="s">
        <v>60</v>
      </c>
      <c r="B48" s="17" t="n">
        <v>46110</v>
      </c>
      <c r="C48" s="18" t="n">
        <f aca="false">SUM(C49:C52)/COUNTA(C49:C52)</f>
        <v>1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</row>
    <row r="49" customFormat="false" ht="15" hidden="false" customHeight="false" outlineLevel="0" collapsed="false">
      <c r="A49" s="20" t="s">
        <v>61</v>
      </c>
      <c r="B49" s="21"/>
      <c r="C49" s="22" t="n">
        <v>1</v>
      </c>
      <c r="D49" s="20" t="n">
        <f aca="false">COUNTIF(E49:AZ49,"x")</f>
        <v>0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51"/>
      <c r="V49" s="24"/>
      <c r="W49" s="24"/>
      <c r="X49" s="24"/>
      <c r="Y49" s="24"/>
      <c r="Z49" s="24"/>
      <c r="AA49" s="24"/>
      <c r="AB49" s="24"/>
      <c r="AN49" s="52"/>
      <c r="AO49" s="23" t="s">
        <v>22</v>
      </c>
      <c r="AP49" s="23" t="s">
        <v>22</v>
      </c>
      <c r="AQ49" s="23" t="s">
        <v>22</v>
      </c>
      <c r="AR49" s="23" t="s">
        <v>22</v>
      </c>
      <c r="AS49" s="23" t="s">
        <v>22</v>
      </c>
      <c r="AT49" s="23" t="s">
        <v>22</v>
      </c>
      <c r="AU49" s="23" t="s">
        <v>22</v>
      </c>
      <c r="AV49" s="23" t="s">
        <v>22</v>
      </c>
    </row>
    <row r="50" customFormat="false" ht="15" hidden="false" customHeight="false" outlineLevel="0" collapsed="false">
      <c r="A50" s="20" t="s">
        <v>62</v>
      </c>
      <c r="B50" s="21"/>
      <c r="C50" s="22" t="n">
        <v>1</v>
      </c>
      <c r="D50" s="20" t="n">
        <f aca="false">COUNTIF(E50:AZ50,"x")</f>
        <v>0</v>
      </c>
      <c r="AO50" s="23" t="s">
        <v>22</v>
      </c>
      <c r="AP50" s="23" t="s">
        <v>22</v>
      </c>
      <c r="AQ50" s="23" t="s">
        <v>22</v>
      </c>
      <c r="AR50" s="23" t="s">
        <v>22</v>
      </c>
      <c r="AS50" s="23" t="s">
        <v>22</v>
      </c>
      <c r="AT50" s="23" t="s">
        <v>22</v>
      </c>
      <c r="AU50" s="23" t="s">
        <v>22</v>
      </c>
      <c r="AV50" s="23" t="s">
        <v>22</v>
      </c>
    </row>
    <row r="51" customFormat="false" ht="15" hidden="false" customHeight="false" outlineLevel="0" collapsed="false">
      <c r="A51" s="20" t="s">
        <v>63</v>
      </c>
      <c r="B51" s="21"/>
      <c r="C51" s="22" t="n">
        <v>1</v>
      </c>
      <c r="D51" s="20" t="n">
        <f aca="false">COUNTIF(E51:AZ51,"x")</f>
        <v>0</v>
      </c>
      <c r="AO51" s="23" t="s">
        <v>22</v>
      </c>
      <c r="AP51" s="23" t="s">
        <v>22</v>
      </c>
      <c r="AQ51" s="23" t="s">
        <v>22</v>
      </c>
      <c r="AR51" s="23" t="s">
        <v>22</v>
      </c>
      <c r="AS51" s="23" t="s">
        <v>22</v>
      </c>
      <c r="AT51" s="23" t="s">
        <v>22</v>
      </c>
      <c r="AU51" s="23" t="s">
        <v>22</v>
      </c>
      <c r="AV51" s="23" t="s">
        <v>22</v>
      </c>
    </row>
    <row r="52" customFormat="false" ht="15" hidden="false" customHeight="false" outlineLevel="0" collapsed="false">
      <c r="A52" s="20" t="s">
        <v>64</v>
      </c>
      <c r="B52" s="21"/>
      <c r="C52" s="22" t="n">
        <v>1</v>
      </c>
      <c r="D52" s="20" t="n">
        <f aca="false">COUNTIF(E52:AZ52,"x")</f>
        <v>0</v>
      </c>
      <c r="AO52" s="23" t="s">
        <v>22</v>
      </c>
      <c r="AP52" s="23" t="s">
        <v>22</v>
      </c>
      <c r="AQ52" s="23" t="s">
        <v>22</v>
      </c>
      <c r="AR52" s="23" t="s">
        <v>22</v>
      </c>
      <c r="AS52" s="23" t="s">
        <v>22</v>
      </c>
      <c r="AT52" s="23" t="s">
        <v>22</v>
      </c>
      <c r="AU52" s="23" t="s">
        <v>22</v>
      </c>
      <c r="AV52" s="23" t="s">
        <v>22</v>
      </c>
    </row>
    <row r="53" customFormat="false" ht="15" hidden="false" customHeight="false" outlineLevel="0" collapsed="false">
      <c r="A53" s="27" t="s">
        <v>65</v>
      </c>
      <c r="B53" s="28" t="n">
        <v>46148</v>
      </c>
      <c r="C53" s="29" t="n">
        <f aca="false">SUM(C54)/COUNTA(C54)</f>
        <v>1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customFormat="false" ht="15" hidden="false" customHeight="false" outlineLevel="0" collapsed="false">
      <c r="A54" s="31" t="s">
        <v>66</v>
      </c>
      <c r="B54" s="32"/>
      <c r="C54" s="33" t="n">
        <v>1</v>
      </c>
      <c r="D54" s="31" t="n">
        <f aca="false">COUNTIF(E54:AZ54,"x")</f>
        <v>0</v>
      </c>
      <c r="AO54" s="23" t="s">
        <v>22</v>
      </c>
      <c r="AP54" s="23" t="s">
        <v>22</v>
      </c>
      <c r="AQ54" s="23" t="s">
        <v>22</v>
      </c>
      <c r="AR54" s="23" t="s">
        <v>22</v>
      </c>
      <c r="AS54" s="23" t="s">
        <v>22</v>
      </c>
      <c r="AT54" s="23" t="s">
        <v>22</v>
      </c>
      <c r="AU54" s="23" t="s">
        <v>22</v>
      </c>
      <c r="AV54" s="23" t="s">
        <v>22</v>
      </c>
    </row>
    <row r="55" customFormat="false" ht="15" hidden="false" customHeight="false" outlineLevel="0" collapsed="false">
      <c r="A55" s="31" t="s">
        <v>67</v>
      </c>
      <c r="B55" s="32"/>
      <c r="C55" s="33" t="n">
        <v>1</v>
      </c>
      <c r="D55" s="31" t="n">
        <f aca="false">COUNTIF(E55:AZ55,"x")</f>
        <v>0</v>
      </c>
      <c r="AO55" s="23" t="s">
        <v>22</v>
      </c>
      <c r="AP55" s="23" t="s">
        <v>22</v>
      </c>
      <c r="AQ55" s="23" t="s">
        <v>22</v>
      </c>
      <c r="AR55" s="23" t="s">
        <v>22</v>
      </c>
      <c r="AS55" s="23" t="s">
        <v>22</v>
      </c>
      <c r="AT55" s="23" t="s">
        <v>22</v>
      </c>
      <c r="AU55" s="23" t="s">
        <v>22</v>
      </c>
      <c r="AV55" s="23" t="s">
        <v>22</v>
      </c>
    </row>
    <row r="56" customFormat="false" ht="15" hidden="false" customHeight="false" outlineLevel="0" collapsed="false">
      <c r="A56" s="31" t="s">
        <v>68</v>
      </c>
      <c r="B56" s="32"/>
      <c r="C56" s="33" t="n">
        <v>1</v>
      </c>
      <c r="D56" s="31" t="n">
        <f aca="false">COUNTIF(E56:AZ56,"x")</f>
        <v>0</v>
      </c>
      <c r="AO56" s="23" t="s">
        <v>22</v>
      </c>
      <c r="AP56" s="23" t="s">
        <v>22</v>
      </c>
      <c r="AQ56" s="23" t="s">
        <v>22</v>
      </c>
      <c r="AR56" s="23" t="s">
        <v>22</v>
      </c>
      <c r="AS56" s="23" t="s">
        <v>22</v>
      </c>
      <c r="AT56" s="23" t="s">
        <v>22</v>
      </c>
      <c r="AU56" s="23" t="s">
        <v>22</v>
      </c>
      <c r="AV56" s="23" t="s">
        <v>22</v>
      </c>
    </row>
    <row r="57" customFormat="false" ht="15" hidden="false" customHeight="false" outlineLevel="0" collapsed="false">
      <c r="A57" s="31" t="s">
        <v>69</v>
      </c>
      <c r="B57" s="32"/>
      <c r="C57" s="33" t="n">
        <v>1</v>
      </c>
      <c r="D57" s="31" t="n">
        <f aca="false">COUNTIF(E57:AZ57,"x")</f>
        <v>0</v>
      </c>
      <c r="AO57" s="23" t="s">
        <v>22</v>
      </c>
      <c r="AP57" s="23" t="s">
        <v>22</v>
      </c>
      <c r="AQ57" s="23" t="s">
        <v>22</v>
      </c>
      <c r="AR57" s="23" t="s">
        <v>22</v>
      </c>
      <c r="AS57" s="23" t="s">
        <v>22</v>
      </c>
      <c r="AT57" s="23" t="s">
        <v>22</v>
      </c>
      <c r="AU57" s="23" t="s">
        <v>22</v>
      </c>
      <c r="AV57" s="23" t="s">
        <v>22</v>
      </c>
    </row>
    <row r="58" customFormat="false" ht="15" hidden="false" customHeight="false" outlineLevel="0" collapsed="false">
      <c r="A58" s="34" t="s">
        <v>70</v>
      </c>
      <c r="B58" s="35" t="s">
        <v>71</v>
      </c>
      <c r="C58" s="36" t="n">
        <f aca="false">SUM(C59:C62)/COUNTA(C59:C62)</f>
        <v>1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</row>
    <row r="59" customFormat="false" ht="15" hidden="false" customHeight="false" outlineLevel="0" collapsed="false">
      <c r="A59" s="38" t="s">
        <v>72</v>
      </c>
      <c r="B59" s="39"/>
      <c r="C59" s="40" t="n">
        <v>1</v>
      </c>
      <c r="D59" s="38" t="n">
        <f aca="false">COUNTIF(E59:AZ59,"x")</f>
        <v>0</v>
      </c>
      <c r="AO59" s="23" t="s">
        <v>22</v>
      </c>
      <c r="AP59" s="23" t="s">
        <v>22</v>
      </c>
      <c r="AQ59" s="23" t="s">
        <v>22</v>
      </c>
      <c r="AR59" s="23" t="s">
        <v>22</v>
      </c>
      <c r="AS59" s="23" t="s">
        <v>22</v>
      </c>
      <c r="AT59" s="23" t="s">
        <v>22</v>
      </c>
      <c r="AU59" s="23" t="s">
        <v>22</v>
      </c>
      <c r="AV59" s="23" t="s">
        <v>22</v>
      </c>
    </row>
    <row r="60" customFormat="false" ht="15" hidden="false" customHeight="false" outlineLevel="0" collapsed="false">
      <c r="A60" s="38" t="s">
        <v>73</v>
      </c>
      <c r="B60" s="39"/>
      <c r="C60" s="40" t="n">
        <v>1</v>
      </c>
      <c r="D60" s="38" t="n">
        <f aca="false">COUNTIF(E60:AZ60,"x")</f>
        <v>0</v>
      </c>
      <c r="AO60" s="23" t="s">
        <v>22</v>
      </c>
      <c r="AP60" s="23" t="s">
        <v>22</v>
      </c>
      <c r="AQ60" s="23" t="s">
        <v>22</v>
      </c>
      <c r="AR60" s="23" t="s">
        <v>22</v>
      </c>
      <c r="AS60" s="23" t="s">
        <v>22</v>
      </c>
      <c r="AT60" s="23" t="s">
        <v>22</v>
      </c>
      <c r="AU60" s="23" t="s">
        <v>22</v>
      </c>
      <c r="AV60" s="23" t="s">
        <v>22</v>
      </c>
    </row>
    <row r="61" customFormat="false" ht="15" hidden="false" customHeight="false" outlineLevel="0" collapsed="false">
      <c r="A61" s="38" t="s">
        <v>74</v>
      </c>
      <c r="B61" s="39"/>
      <c r="C61" s="40" t="n">
        <v>1</v>
      </c>
      <c r="D61" s="38" t="n">
        <f aca="false">COUNTIF(E61:AZ61,"x")</f>
        <v>0</v>
      </c>
      <c r="AO61" s="23" t="s">
        <v>22</v>
      </c>
      <c r="AP61" s="23" t="s">
        <v>22</v>
      </c>
      <c r="AQ61" s="23" t="s">
        <v>22</v>
      </c>
      <c r="AR61" s="23" t="s">
        <v>22</v>
      </c>
      <c r="AS61" s="23" t="s">
        <v>22</v>
      </c>
      <c r="AT61" s="23" t="s">
        <v>22</v>
      </c>
      <c r="AU61" s="23" t="s">
        <v>22</v>
      </c>
      <c r="AV61" s="23" t="s">
        <v>22</v>
      </c>
    </row>
    <row r="62" customFormat="false" ht="15" hidden="false" customHeight="false" outlineLevel="0" collapsed="false">
      <c r="A62" s="38" t="s">
        <v>75</v>
      </c>
      <c r="B62" s="39"/>
      <c r="C62" s="40" t="n">
        <v>1</v>
      </c>
      <c r="D62" s="38" t="n">
        <f aca="false">COUNTIF(E62:AZ62,"x")</f>
        <v>0</v>
      </c>
      <c r="AO62" s="23" t="s">
        <v>22</v>
      </c>
      <c r="AP62" s="23" t="s">
        <v>22</v>
      </c>
      <c r="AQ62" s="23" t="s">
        <v>22</v>
      </c>
      <c r="AR62" s="23" t="s">
        <v>22</v>
      </c>
      <c r="AS62" s="23" t="s">
        <v>22</v>
      </c>
      <c r="AT62" s="23" t="s">
        <v>22</v>
      </c>
      <c r="AU62" s="23" t="s">
        <v>22</v>
      </c>
      <c r="AV62" s="23" t="s">
        <v>22</v>
      </c>
    </row>
    <row r="63" customFormat="false" ht="15" hidden="false" customHeight="false" outlineLevel="0" collapsed="false">
      <c r="C63" s="48"/>
    </row>
    <row r="64" customFormat="false" ht="15" hidden="false" customHeight="false" outlineLevel="0" collapsed="false">
      <c r="C64" s="48"/>
    </row>
    <row r="65" customFormat="false" ht="15" hidden="false" customHeight="false" outlineLevel="0" collapsed="false">
      <c r="C65" s="48"/>
    </row>
  </sheetData>
  <mergeCells count="12">
    <mergeCell ref="E8:H8"/>
    <mergeCell ref="I8:L8"/>
    <mergeCell ref="M8:P8"/>
    <mergeCell ref="Q8:T8"/>
    <mergeCell ref="U8:X8"/>
    <mergeCell ref="Y8:AB8"/>
    <mergeCell ref="AC8:AF8"/>
    <mergeCell ref="AG8:AJ8"/>
    <mergeCell ref="AK8:AN8"/>
    <mergeCell ref="AO8:AR8"/>
    <mergeCell ref="AS8:AV8"/>
    <mergeCell ref="AW8:AZ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65"/>
  <sheetViews>
    <sheetView showFormulas="false" showGridLines="false" showRowColHeaders="true" showZeros="true" rightToLeft="false" tabSelected="false" showOutlineSymbols="true" defaultGridColor="true" view="normal" topLeftCell="A1" colorId="64" zoomScale="31" zoomScaleNormal="31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99.96"/>
    <col collapsed="false" customWidth="true" hidden="false" outlineLevel="0" max="2" min="2" style="2" width="15.04"/>
    <col collapsed="false" customWidth="true" hidden="false" outlineLevel="0" max="3" min="3" style="1" width="31.06"/>
    <col collapsed="false" customWidth="true" hidden="false" outlineLevel="0" max="4" min="4" style="1" width="19.06"/>
    <col collapsed="false" customWidth="true" hidden="false" outlineLevel="0" max="28" min="5" style="1" width="10.24"/>
    <col collapsed="false" customWidth="false" hidden="false" outlineLevel="0" max="45" min="29" style="1" width="11.53"/>
    <col collapsed="false" customWidth="false" hidden="false" outlineLevel="0" max="49" min="46" style="3" width="11.53"/>
    <col collapsed="false" customWidth="false" hidden="false" outlineLevel="0" max="52" min="50" style="1" width="11.53"/>
  </cols>
  <sheetData>
    <row r="1" customFormat="false" ht="34.05" hidden="false" customHeight="false" outlineLevel="0" collapsed="false">
      <c r="A1" s="4" t="s">
        <v>0</v>
      </c>
      <c r="B1" s="5"/>
    </row>
    <row r="2" customFormat="false" ht="18.55" hidden="false" customHeight="false" outlineLevel="0" collapsed="false">
      <c r="A2" s="6"/>
      <c r="B2" s="7"/>
    </row>
    <row r="3" customFormat="false" ht="18.55" hidden="false" customHeight="false" outlineLevel="0" collapsed="false">
      <c r="A3" s="6"/>
      <c r="B3" s="7"/>
      <c r="C3" s="1" t="s">
        <v>1</v>
      </c>
      <c r="D3" s="2" t="n">
        <v>45566</v>
      </c>
    </row>
    <row r="4" customFormat="false" ht="18.55" hidden="false" customHeight="false" outlineLevel="0" collapsed="false">
      <c r="A4" s="6" t="s">
        <v>2</v>
      </c>
      <c r="B4" s="7"/>
      <c r="C4" s="1" t="s">
        <v>3</v>
      </c>
      <c r="D4" s="2" t="n">
        <v>45930</v>
      </c>
    </row>
    <row r="5" customFormat="false" ht="18.55" hidden="false" customHeight="false" outlineLevel="0" collapsed="false">
      <c r="A5" s="6" t="s">
        <v>4</v>
      </c>
      <c r="B5" s="7"/>
      <c r="C5" s="1" t="s">
        <v>5</v>
      </c>
      <c r="D5" s="2" t="n">
        <v>45987</v>
      </c>
    </row>
    <row r="6" customFormat="false" ht="18.55" hidden="false" customHeight="false" outlineLevel="0" collapsed="false">
      <c r="A6" s="6"/>
      <c r="B6" s="7"/>
      <c r="C6" s="1" t="s">
        <v>6</v>
      </c>
      <c r="D6" s="2" t="n">
        <v>46203</v>
      </c>
    </row>
    <row r="7" customFormat="false" ht="18.55" hidden="false" customHeight="false" outlineLevel="0" collapsed="false">
      <c r="A7" s="6" t="s">
        <v>7</v>
      </c>
      <c r="B7" s="7"/>
      <c r="C7" s="1" t="s">
        <v>8</v>
      </c>
      <c r="D7" s="8" t="n">
        <f aca="false">(D4-D3)/7 + (D6-D5)/7</f>
        <v>82.8571428571429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X7" s="9"/>
      <c r="AY7" s="9"/>
      <c r="AZ7" s="9"/>
    </row>
    <row r="8" customFormat="false" ht="15" hidden="false" customHeight="false" outlineLevel="0" collapsed="false">
      <c r="E8" s="10" t="s">
        <v>88</v>
      </c>
      <c r="F8" s="10"/>
      <c r="G8" s="10"/>
      <c r="H8" s="10"/>
      <c r="I8" s="10" t="s">
        <v>89</v>
      </c>
      <c r="J8" s="10"/>
      <c r="K8" s="10"/>
      <c r="L8" s="10"/>
      <c r="M8" s="10" t="s">
        <v>90</v>
      </c>
      <c r="N8" s="10"/>
      <c r="O8" s="10"/>
      <c r="P8" s="10"/>
      <c r="Q8" s="10" t="s">
        <v>91</v>
      </c>
      <c r="R8" s="10"/>
      <c r="S8" s="10"/>
      <c r="T8" s="10"/>
      <c r="U8" s="10" t="s">
        <v>92</v>
      </c>
      <c r="V8" s="10"/>
      <c r="W8" s="10"/>
      <c r="X8" s="10"/>
      <c r="Y8" s="10" t="s">
        <v>93</v>
      </c>
      <c r="Z8" s="10"/>
      <c r="AA8" s="10"/>
      <c r="AB8" s="10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</row>
    <row r="9" customFormat="false" ht="15" hidden="false" customHeight="false" outlineLevel="0" collapsed="false">
      <c r="A9" s="12" t="s">
        <v>12</v>
      </c>
      <c r="B9" s="13" t="s">
        <v>13</v>
      </c>
      <c r="C9" s="12" t="s">
        <v>14</v>
      </c>
      <c r="D9" s="12" t="s">
        <v>15</v>
      </c>
      <c r="E9" s="13" t="s">
        <v>16</v>
      </c>
      <c r="F9" s="13" t="s">
        <v>17</v>
      </c>
      <c r="G9" s="13" t="s">
        <v>18</v>
      </c>
      <c r="H9" s="13" t="s">
        <v>19</v>
      </c>
      <c r="I9" s="13" t="s">
        <v>16</v>
      </c>
      <c r="J9" s="13" t="s">
        <v>17</v>
      </c>
      <c r="K9" s="13" t="s">
        <v>18</v>
      </c>
      <c r="L9" s="13" t="s">
        <v>19</v>
      </c>
      <c r="M9" s="13" t="s">
        <v>16</v>
      </c>
      <c r="N9" s="13" t="s">
        <v>17</v>
      </c>
      <c r="O9" s="13" t="s">
        <v>18</v>
      </c>
      <c r="P9" s="13" t="s">
        <v>19</v>
      </c>
      <c r="Q9" s="13" t="s">
        <v>16</v>
      </c>
      <c r="R9" s="13" t="s">
        <v>17</v>
      </c>
      <c r="S9" s="13" t="s">
        <v>18</v>
      </c>
      <c r="T9" s="13" t="s">
        <v>19</v>
      </c>
      <c r="U9" s="13" t="s">
        <v>16</v>
      </c>
      <c r="V9" s="13" t="s">
        <v>17</v>
      </c>
      <c r="W9" s="13" t="s">
        <v>18</v>
      </c>
      <c r="X9" s="13" t="s">
        <v>19</v>
      </c>
      <c r="Y9" s="13" t="s">
        <v>16</v>
      </c>
      <c r="Z9" s="13" t="s">
        <v>17</v>
      </c>
      <c r="AA9" s="13" t="s">
        <v>18</v>
      </c>
      <c r="AB9" s="49" t="s">
        <v>19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</row>
    <row r="10" customFormat="false" ht="15" hidden="false" customHeight="false" outlineLevel="0" collapsed="false">
      <c r="A10" s="16" t="s">
        <v>20</v>
      </c>
      <c r="B10" s="17" t="n">
        <v>45607</v>
      </c>
      <c r="C10" s="18" t="n">
        <f aca="false">SUM(C11:C14)/COUNTA(C11:C14)</f>
        <v>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T10" s="1"/>
      <c r="AU10" s="1"/>
      <c r="AV10" s="1"/>
      <c r="AW10" s="1"/>
    </row>
    <row r="11" customFormat="false" ht="15" hidden="false" customHeight="false" outlineLevel="0" collapsed="false">
      <c r="A11" s="20" t="s">
        <v>21</v>
      </c>
      <c r="B11" s="21"/>
      <c r="C11" s="22" t="n">
        <v>1</v>
      </c>
      <c r="D11" s="20" t="n">
        <f aca="false">COUNTIF(E11:AB11,"x")</f>
        <v>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5"/>
      <c r="V11" s="24"/>
      <c r="W11" s="24"/>
      <c r="X11" s="24"/>
      <c r="Y11" s="24"/>
      <c r="Z11" s="24"/>
      <c r="AA11" s="24"/>
      <c r="AB11" s="24"/>
      <c r="AN11" s="26"/>
      <c r="AS11" s="26"/>
    </row>
    <row r="12" customFormat="false" ht="15" hidden="false" customHeight="false" outlineLevel="0" collapsed="false">
      <c r="A12" s="20" t="s">
        <v>24</v>
      </c>
      <c r="B12" s="21"/>
      <c r="C12" s="22" t="n">
        <v>1</v>
      </c>
      <c r="D12" s="20" t="n">
        <f aca="false">COUNTIF(E12:AB12,"x")</f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51"/>
      <c r="V12" s="24"/>
      <c r="W12" s="24"/>
      <c r="X12" s="24"/>
      <c r="Y12" s="24"/>
      <c r="Z12" s="24"/>
      <c r="AA12" s="24"/>
      <c r="AB12" s="24"/>
      <c r="AN12" s="52"/>
      <c r="AS12" s="52"/>
    </row>
    <row r="13" customFormat="false" ht="15" hidden="false" customHeight="false" outlineLevel="0" collapsed="false">
      <c r="A13" s="20" t="s">
        <v>25</v>
      </c>
      <c r="B13" s="21"/>
      <c r="C13" s="22" t="n">
        <v>1</v>
      </c>
      <c r="D13" s="20" t="n">
        <f aca="false">COUNTIF(E13:AB13,"x")</f>
        <v>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customFormat="false" ht="15" hidden="false" customHeight="false" outlineLevel="0" collapsed="false">
      <c r="A14" s="20" t="s">
        <v>26</v>
      </c>
      <c r="B14" s="21"/>
      <c r="C14" s="22" t="n">
        <v>1</v>
      </c>
      <c r="D14" s="20" t="n">
        <f aca="false">COUNTIF(E14:AB14,"x")</f>
        <v>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5"/>
      <c r="V14" s="24"/>
      <c r="W14" s="24"/>
      <c r="X14" s="24"/>
      <c r="Y14" s="24"/>
      <c r="Z14" s="24"/>
      <c r="AA14" s="24"/>
      <c r="AB14" s="24"/>
      <c r="AN14" s="26"/>
      <c r="AS14" s="26"/>
    </row>
    <row r="15" customFormat="false" ht="15" hidden="false" customHeight="false" outlineLevel="0" collapsed="false">
      <c r="A15" s="27" t="s">
        <v>27</v>
      </c>
      <c r="B15" s="28" t="n">
        <v>45987</v>
      </c>
      <c r="C15" s="29" t="n">
        <f aca="false">SUM(C16:C18)/COUNTA(C16:C18)</f>
        <v>1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T15" s="1"/>
      <c r="AU15" s="1"/>
      <c r="AV15" s="1"/>
      <c r="AW15" s="1"/>
    </row>
    <row r="16" customFormat="false" ht="15" hidden="false" customHeight="false" outlineLevel="0" collapsed="false">
      <c r="A16" s="31" t="s">
        <v>28</v>
      </c>
      <c r="B16" s="32"/>
      <c r="C16" s="33" t="n">
        <v>1</v>
      </c>
      <c r="D16" s="31" t="n">
        <f aca="false">COUNTIF(E16:AB16,"x")</f>
        <v>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51"/>
      <c r="V16" s="24"/>
      <c r="W16" s="24"/>
      <c r="X16" s="24"/>
      <c r="Y16" s="24"/>
      <c r="Z16" s="24"/>
      <c r="AA16" s="24"/>
      <c r="AB16" s="24"/>
      <c r="AN16" s="52"/>
      <c r="AS16" s="52"/>
    </row>
    <row r="17" customFormat="false" ht="15" hidden="false" customHeight="false" outlineLevel="0" collapsed="false">
      <c r="A17" s="31" t="s">
        <v>29</v>
      </c>
      <c r="B17" s="32"/>
      <c r="C17" s="33" t="n">
        <v>1</v>
      </c>
      <c r="D17" s="31" t="n">
        <f aca="false">COUNTIF(E17:AB17,"x")</f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51"/>
      <c r="V17" s="24"/>
      <c r="W17" s="24"/>
      <c r="X17" s="24"/>
      <c r="Y17" s="24"/>
      <c r="Z17" s="24"/>
      <c r="AA17" s="24"/>
      <c r="AB17" s="24"/>
      <c r="AN17" s="52"/>
      <c r="AS17" s="52"/>
    </row>
    <row r="18" customFormat="false" ht="15" hidden="false" customHeight="false" outlineLevel="0" collapsed="false">
      <c r="A18" s="31" t="s">
        <v>30</v>
      </c>
      <c r="B18" s="32"/>
      <c r="C18" s="33" t="n">
        <v>1</v>
      </c>
      <c r="D18" s="31" t="n">
        <f aca="false">COUNTIF(E18:AB18,"x")</f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51"/>
      <c r="V18" s="24"/>
      <c r="W18" s="24"/>
      <c r="X18" s="24"/>
      <c r="Y18" s="24"/>
      <c r="Z18" s="24"/>
      <c r="AA18" s="24"/>
      <c r="AB18" s="24"/>
      <c r="AN18" s="52"/>
      <c r="AS18" s="52"/>
    </row>
    <row r="19" customFormat="false" ht="15" hidden="false" customHeight="false" outlineLevel="0" collapsed="false">
      <c r="A19" s="34" t="s">
        <v>31</v>
      </c>
      <c r="B19" s="35" t="n">
        <v>45703</v>
      </c>
      <c r="C19" s="36" t="n">
        <f aca="false">SUM(C20:C23)/COUNTA(C20:C23)</f>
        <v>1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T19" s="1"/>
      <c r="AU19" s="1"/>
      <c r="AV19" s="1"/>
      <c r="AW19" s="1"/>
    </row>
    <row r="20" customFormat="false" ht="15" hidden="false" customHeight="false" outlineLevel="0" collapsed="false">
      <c r="A20" s="38" t="s">
        <v>32</v>
      </c>
      <c r="B20" s="39"/>
      <c r="C20" s="40" t="n">
        <v>1</v>
      </c>
      <c r="D20" s="38" t="n">
        <f aca="false">COUNTIF(E20:AB20,"x")</f>
        <v>0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customFormat="false" ht="15" hidden="false" customHeight="false" outlineLevel="0" collapsed="false">
      <c r="A21" s="38" t="s">
        <v>33</v>
      </c>
      <c r="B21" s="39"/>
      <c r="C21" s="40" t="n">
        <v>1</v>
      </c>
      <c r="D21" s="38" t="n">
        <f aca="false">COUNTIF(E21:AB21,"x")</f>
        <v>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customFormat="false" ht="15" hidden="false" customHeight="false" outlineLevel="0" collapsed="false">
      <c r="A22" s="38" t="s">
        <v>34</v>
      </c>
      <c r="B22" s="39"/>
      <c r="C22" s="40" t="n">
        <v>1</v>
      </c>
      <c r="D22" s="38" t="n">
        <f aca="false">COUNTIF(E22:AB22,"x")</f>
        <v>0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customFormat="false" ht="15" hidden="false" customHeight="false" outlineLevel="0" collapsed="false">
      <c r="A23" s="38" t="s">
        <v>35</v>
      </c>
      <c r="B23" s="39"/>
      <c r="C23" s="40" t="n">
        <v>1</v>
      </c>
      <c r="D23" s="38" t="n">
        <f aca="false">COUNTIF(E23:AB23,"x")</f>
        <v>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customFormat="false" ht="15" hidden="false" customHeight="false" outlineLevel="0" collapsed="false">
      <c r="A24" s="41" t="s">
        <v>36</v>
      </c>
      <c r="B24" s="42" t="n">
        <v>45715</v>
      </c>
      <c r="C24" s="43" t="n">
        <f aca="false">SUM(C25:C29)/COUNTA(C25:C29)</f>
        <v>1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T24" s="1"/>
      <c r="AU24" s="1"/>
      <c r="AV24" s="1"/>
      <c r="AW24" s="1"/>
    </row>
    <row r="25" customFormat="false" ht="15" hidden="false" customHeight="false" outlineLevel="0" collapsed="false">
      <c r="A25" s="45" t="s">
        <v>37</v>
      </c>
      <c r="B25" s="46"/>
      <c r="C25" s="47" t="n">
        <v>1</v>
      </c>
      <c r="D25" s="45" t="n">
        <f aca="false">COUNTIF(E25:AB25,"x")</f>
        <v>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51"/>
      <c r="V25" s="24"/>
      <c r="W25" s="24"/>
      <c r="X25" s="24"/>
      <c r="Y25" s="24"/>
      <c r="Z25" s="24"/>
      <c r="AA25" s="24"/>
      <c r="AB25" s="24"/>
      <c r="AN25" s="52"/>
      <c r="AS25" s="52"/>
    </row>
    <row r="26" customFormat="false" ht="15" hidden="false" customHeight="false" outlineLevel="0" collapsed="false">
      <c r="A26" s="45" t="s">
        <v>38</v>
      </c>
      <c r="B26" s="46"/>
      <c r="C26" s="47" t="n">
        <v>1</v>
      </c>
      <c r="D26" s="45" t="n">
        <f aca="false">COUNTIF(E26:AB26,"x")</f>
        <v>0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51"/>
      <c r="V26" s="24"/>
      <c r="W26" s="24"/>
      <c r="X26" s="24"/>
      <c r="Y26" s="24"/>
      <c r="Z26" s="24"/>
      <c r="AA26" s="24"/>
      <c r="AB26" s="24"/>
      <c r="AN26" s="52"/>
      <c r="AS26" s="52"/>
    </row>
    <row r="27" customFormat="false" ht="15" hidden="false" customHeight="false" outlineLevel="0" collapsed="false">
      <c r="A27" s="45" t="s">
        <v>39</v>
      </c>
      <c r="B27" s="46"/>
      <c r="C27" s="47" t="n">
        <v>1</v>
      </c>
      <c r="D27" s="45" t="n">
        <f aca="false">COUNTIF(E27:AB27,"x")</f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51"/>
      <c r="V27" s="24"/>
      <c r="W27" s="24"/>
      <c r="X27" s="24"/>
      <c r="Y27" s="24"/>
      <c r="Z27" s="24"/>
      <c r="AA27" s="24"/>
      <c r="AB27" s="24"/>
      <c r="AN27" s="52"/>
      <c r="AS27" s="52"/>
    </row>
    <row r="28" customFormat="false" ht="15" hidden="false" customHeight="false" outlineLevel="0" collapsed="false">
      <c r="A28" s="45" t="s">
        <v>40</v>
      </c>
      <c r="B28" s="46"/>
      <c r="C28" s="47" t="n">
        <v>1</v>
      </c>
      <c r="D28" s="45" t="n">
        <f aca="false">COUNTIF(E28:AB28,"x")</f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51"/>
      <c r="V28" s="24"/>
      <c r="W28" s="24"/>
      <c r="X28" s="24"/>
      <c r="Y28" s="24"/>
      <c r="Z28" s="24"/>
      <c r="AA28" s="24"/>
      <c r="AB28" s="24"/>
      <c r="AN28" s="52"/>
      <c r="AS28" s="52"/>
    </row>
    <row r="29" customFormat="false" ht="15" hidden="false" customHeight="false" outlineLevel="0" collapsed="false">
      <c r="A29" s="45" t="s">
        <v>41</v>
      </c>
      <c r="B29" s="46"/>
      <c r="C29" s="47" t="n">
        <v>1</v>
      </c>
      <c r="D29" s="45" t="n">
        <f aca="false">COUNTIF(E29:AB29,"x")</f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customFormat="false" ht="15" hidden="false" customHeight="false" outlineLevel="0" collapsed="false">
      <c r="A30" s="16" t="s">
        <v>42</v>
      </c>
      <c r="B30" s="17" t="n">
        <v>45887</v>
      </c>
      <c r="C30" s="18" t="n">
        <f aca="false">SUM(C31:C38)/COUNTA(C31:C38)</f>
        <v>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T30" s="1"/>
      <c r="AU30" s="1"/>
      <c r="AV30" s="1"/>
      <c r="AW30" s="1"/>
    </row>
    <row r="31" customFormat="false" ht="15" hidden="false" customHeight="false" outlineLevel="0" collapsed="false">
      <c r="A31" s="20" t="s">
        <v>43</v>
      </c>
      <c r="B31" s="21"/>
      <c r="C31" s="22" t="n">
        <v>1</v>
      </c>
      <c r="D31" s="20" t="n">
        <f aca="false">COUNTIF(E31:AB31,"x")</f>
        <v>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51"/>
      <c r="V31" s="24"/>
      <c r="W31" s="24"/>
      <c r="X31" s="24"/>
      <c r="Y31" s="24"/>
      <c r="Z31" s="24"/>
      <c r="AA31" s="24"/>
      <c r="AB31" s="24"/>
      <c r="AN31" s="52"/>
      <c r="AS31" s="52"/>
    </row>
    <row r="32" customFormat="false" ht="15" hidden="false" customHeight="false" outlineLevel="0" collapsed="false">
      <c r="A32" s="20" t="s">
        <v>44</v>
      </c>
      <c r="B32" s="21"/>
      <c r="C32" s="22" t="n">
        <v>1</v>
      </c>
      <c r="D32" s="20" t="n">
        <f aca="false">COUNTIF(E32:AB32,"x")</f>
        <v>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51"/>
      <c r="V32" s="24"/>
      <c r="W32" s="24"/>
      <c r="X32" s="24"/>
      <c r="Y32" s="24"/>
      <c r="Z32" s="24"/>
      <c r="AA32" s="24"/>
      <c r="AB32" s="24"/>
      <c r="AN32" s="52"/>
      <c r="AS32" s="52"/>
    </row>
    <row r="33" customFormat="false" ht="15" hidden="false" customHeight="false" outlineLevel="0" collapsed="false">
      <c r="A33" s="20" t="s">
        <v>45</v>
      </c>
      <c r="B33" s="21"/>
      <c r="C33" s="22" t="n">
        <v>1</v>
      </c>
      <c r="D33" s="20" t="n">
        <f aca="false">COUNTIF(E33:AB33,"x")</f>
        <v>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51"/>
      <c r="V33" s="24"/>
      <c r="W33" s="24"/>
      <c r="X33" s="24"/>
      <c r="Y33" s="24"/>
      <c r="Z33" s="24"/>
      <c r="AA33" s="24"/>
      <c r="AB33" s="24"/>
      <c r="AN33" s="52"/>
      <c r="AS33" s="52"/>
    </row>
    <row r="34" customFormat="false" ht="15" hidden="false" customHeight="false" outlineLevel="0" collapsed="false">
      <c r="A34" s="27" t="s">
        <v>46</v>
      </c>
      <c r="B34" s="28" t="n">
        <v>45779</v>
      </c>
      <c r="C34" s="29" t="n">
        <f aca="false">SUM(C35:C38)/COUNTA(C35:C38)</f>
        <v>1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T34" s="1"/>
      <c r="AU34" s="1"/>
      <c r="AV34" s="1"/>
      <c r="AW34" s="1"/>
    </row>
    <row r="35" customFormat="false" ht="15" hidden="false" customHeight="false" outlineLevel="0" collapsed="false">
      <c r="A35" s="31" t="s">
        <v>47</v>
      </c>
      <c r="B35" s="32"/>
      <c r="C35" s="33" t="n">
        <v>1</v>
      </c>
      <c r="D35" s="31" t="n">
        <f aca="false">COUNTIF(E35:AB35,"x")</f>
        <v>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customFormat="false" ht="15" hidden="false" customHeight="false" outlineLevel="0" collapsed="false">
      <c r="A36" s="31" t="s">
        <v>48</v>
      </c>
      <c r="B36" s="32"/>
      <c r="C36" s="33" t="n">
        <v>1</v>
      </c>
      <c r="D36" s="31" t="n">
        <f aca="false">COUNTIF(E36:AB36,"x")</f>
        <v>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N36" s="26"/>
      <c r="AS36" s="26"/>
    </row>
    <row r="37" customFormat="false" ht="15" hidden="false" customHeight="false" outlineLevel="0" collapsed="false">
      <c r="A37" s="31" t="s">
        <v>49</v>
      </c>
      <c r="B37" s="32"/>
      <c r="C37" s="33" t="n">
        <v>1</v>
      </c>
      <c r="D37" s="31" t="n">
        <f aca="false">COUNTIF(E37:AB37,"x")</f>
        <v>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N37" s="52"/>
      <c r="AS37" s="52"/>
    </row>
    <row r="38" customFormat="false" ht="15" hidden="false" customHeight="false" outlineLevel="0" collapsed="false">
      <c r="A38" s="31" t="s">
        <v>50</v>
      </c>
      <c r="B38" s="32"/>
      <c r="C38" s="33" t="n">
        <v>1</v>
      </c>
      <c r="D38" s="31" t="n">
        <f aca="false">COUNTIF(E38:AB38,"x")</f>
        <v>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N38" s="52"/>
      <c r="AS38" s="52"/>
    </row>
    <row r="39" customFormat="false" ht="15" hidden="false" customHeight="false" outlineLevel="0" collapsed="false">
      <c r="A39" s="34" t="s">
        <v>51</v>
      </c>
      <c r="B39" s="35" t="n">
        <v>45836</v>
      </c>
      <c r="C39" s="36" t="n">
        <f aca="false">SUM(C40:C43)/COUNTA(C40:C43)</f>
        <v>1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T39" s="1"/>
      <c r="AU39" s="1"/>
      <c r="AV39" s="1"/>
      <c r="AW39" s="1"/>
    </row>
    <row r="40" customFormat="false" ht="15" hidden="false" customHeight="false" outlineLevel="0" collapsed="false">
      <c r="A40" s="38" t="s">
        <v>52</v>
      </c>
      <c r="B40" s="39"/>
      <c r="C40" s="40" t="n">
        <v>1</v>
      </c>
      <c r="D40" s="38" t="n">
        <f aca="false">COUNTIF(E40:AB40,"x")</f>
        <v>0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N40" s="52"/>
      <c r="AS40" s="52"/>
    </row>
    <row r="41" customFormat="false" ht="15" hidden="false" customHeight="false" outlineLevel="0" collapsed="false">
      <c r="A41" s="38" t="s">
        <v>53</v>
      </c>
      <c r="B41" s="39"/>
      <c r="C41" s="40" t="n">
        <v>1</v>
      </c>
      <c r="D41" s="38" t="n">
        <f aca="false">COUNTIF(E41:AB41,"x")</f>
        <v>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N41" s="52"/>
      <c r="AS41" s="52"/>
    </row>
    <row r="42" customFormat="false" ht="15" hidden="false" customHeight="false" outlineLevel="0" collapsed="false">
      <c r="A42" s="38" t="s">
        <v>54</v>
      </c>
      <c r="B42" s="39"/>
      <c r="C42" s="40" t="n">
        <v>1</v>
      </c>
      <c r="D42" s="38" t="n">
        <f aca="false">COUNTIF(E42:AB42,"x")</f>
        <v>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N42" s="52"/>
      <c r="AS42" s="52"/>
    </row>
    <row r="43" customFormat="false" ht="15" hidden="false" customHeight="false" outlineLevel="0" collapsed="false">
      <c r="A43" s="38" t="s">
        <v>55</v>
      </c>
      <c r="B43" s="39"/>
      <c r="C43" s="40" t="n">
        <v>1</v>
      </c>
      <c r="D43" s="38" t="n">
        <f aca="false">COUNTIF(E43:AB43,"x")</f>
        <v>0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customFormat="false" ht="15" hidden="false" customHeight="false" outlineLevel="0" collapsed="false">
      <c r="A44" s="41" t="s">
        <v>56</v>
      </c>
      <c r="B44" s="42" t="n">
        <v>46063</v>
      </c>
      <c r="C44" s="43" t="n">
        <f aca="false">SUM(C45:C47)/COUNTA(C45:C47)</f>
        <v>1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T44" s="1"/>
      <c r="AU44" s="1"/>
      <c r="AV44" s="1"/>
      <c r="AW44" s="1"/>
    </row>
    <row r="45" customFormat="false" ht="15" hidden="false" customHeight="false" outlineLevel="0" collapsed="false">
      <c r="A45" s="45" t="s">
        <v>57</v>
      </c>
      <c r="B45" s="46"/>
      <c r="C45" s="47" t="n">
        <v>1</v>
      </c>
      <c r="D45" s="45" t="n">
        <f aca="false">COUNTIF(E45:AB45,"x")</f>
        <v>3</v>
      </c>
      <c r="E45" s="24" t="s">
        <v>23</v>
      </c>
      <c r="F45" s="24" t="s">
        <v>23</v>
      </c>
      <c r="G45" s="24"/>
      <c r="H45" s="24"/>
      <c r="I45" s="24"/>
      <c r="J45" s="24" t="s">
        <v>23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51"/>
      <c r="V45" s="24"/>
      <c r="W45" s="24"/>
      <c r="X45" s="24"/>
      <c r="Y45" s="24"/>
      <c r="Z45" s="24"/>
      <c r="AA45" s="24"/>
      <c r="AB45" s="24"/>
      <c r="AN45" s="52"/>
      <c r="AS45" s="52"/>
    </row>
    <row r="46" customFormat="false" ht="15" hidden="false" customHeight="false" outlineLevel="0" collapsed="false">
      <c r="A46" s="45" t="s">
        <v>58</v>
      </c>
      <c r="B46" s="46"/>
      <c r="C46" s="47" t="n">
        <v>1</v>
      </c>
      <c r="D46" s="45" t="n">
        <f aca="false">COUNTIF(E46:AB46,"x")</f>
        <v>3</v>
      </c>
      <c r="E46" s="24"/>
      <c r="F46" s="24"/>
      <c r="G46" s="24" t="s">
        <v>23</v>
      </c>
      <c r="H46" s="24" t="s">
        <v>23</v>
      </c>
      <c r="I46" s="24"/>
      <c r="J46" s="24" t="s">
        <v>23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51"/>
      <c r="V46" s="24"/>
      <c r="W46" s="24"/>
      <c r="X46" s="24"/>
      <c r="Y46" s="24"/>
      <c r="Z46" s="24"/>
      <c r="AA46" s="24"/>
      <c r="AB46" s="24"/>
      <c r="AN46" s="52"/>
      <c r="AS46" s="52"/>
    </row>
    <row r="47" customFormat="false" ht="15" hidden="false" customHeight="false" outlineLevel="0" collapsed="false">
      <c r="A47" s="45" t="s">
        <v>59</v>
      </c>
      <c r="B47" s="46"/>
      <c r="C47" s="47" t="n">
        <v>1</v>
      </c>
      <c r="D47" s="45" t="n">
        <f aca="false">COUNTIF(E47:AB47,"x")</f>
        <v>5</v>
      </c>
      <c r="E47" s="24" t="s">
        <v>23</v>
      </c>
      <c r="F47" s="24"/>
      <c r="G47" s="24" t="s">
        <v>23</v>
      </c>
      <c r="H47" s="24" t="s">
        <v>23</v>
      </c>
      <c r="I47" s="24" t="s">
        <v>23</v>
      </c>
      <c r="J47" s="24" t="s">
        <v>23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51"/>
      <c r="V47" s="24"/>
      <c r="W47" s="24"/>
      <c r="X47" s="24"/>
      <c r="Y47" s="24"/>
      <c r="Z47" s="24"/>
      <c r="AA47" s="24"/>
      <c r="AB47" s="24"/>
      <c r="AN47" s="52"/>
      <c r="AS47" s="52"/>
    </row>
    <row r="48" customFormat="false" ht="15" hidden="false" customHeight="false" outlineLevel="0" collapsed="false">
      <c r="A48" s="16" t="s">
        <v>60</v>
      </c>
      <c r="B48" s="17" t="n">
        <v>46110</v>
      </c>
      <c r="C48" s="18" t="n">
        <f aca="false">SUM(C49:C52)/COUNTA(C49:C52)</f>
        <v>1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T48" s="1"/>
      <c r="AU48" s="1"/>
      <c r="AV48" s="1"/>
      <c r="AW48" s="1"/>
    </row>
    <row r="49" customFormat="false" ht="15" hidden="false" customHeight="false" outlineLevel="0" collapsed="false">
      <c r="A49" s="20" t="s">
        <v>61</v>
      </c>
      <c r="B49" s="21"/>
      <c r="C49" s="22" t="n">
        <v>1</v>
      </c>
      <c r="D49" s="20" t="n">
        <f aca="false">COUNTIF(E49:AB49,"x")</f>
        <v>4</v>
      </c>
      <c r="E49" s="24"/>
      <c r="F49" s="24"/>
      <c r="G49" s="24"/>
      <c r="H49" s="24"/>
      <c r="I49" s="24"/>
      <c r="J49" s="24" t="s">
        <v>23</v>
      </c>
      <c r="K49" s="24" t="s">
        <v>23</v>
      </c>
      <c r="L49" s="24" t="s">
        <v>23</v>
      </c>
      <c r="M49" s="24"/>
      <c r="N49" s="24"/>
      <c r="O49" s="24"/>
      <c r="P49" s="24" t="s">
        <v>23</v>
      </c>
      <c r="Q49" s="24"/>
      <c r="R49" s="24"/>
      <c r="S49" s="24"/>
      <c r="T49" s="24"/>
      <c r="U49" s="51"/>
      <c r="V49" s="24"/>
      <c r="W49" s="24"/>
      <c r="X49" s="24"/>
      <c r="Y49" s="24"/>
      <c r="Z49" s="24"/>
      <c r="AA49" s="24"/>
      <c r="AB49" s="24"/>
      <c r="AN49" s="52"/>
      <c r="AS49" s="52"/>
    </row>
    <row r="50" customFormat="false" ht="15" hidden="false" customHeight="false" outlineLevel="0" collapsed="false">
      <c r="A50" s="20" t="s">
        <v>62</v>
      </c>
      <c r="B50" s="21"/>
      <c r="C50" s="22" t="n">
        <v>1</v>
      </c>
      <c r="D50" s="20" t="n">
        <f aca="false">COUNTIF(E50:AB50,"x")</f>
        <v>4</v>
      </c>
      <c r="J50" s="24"/>
      <c r="K50" s="24" t="s">
        <v>23</v>
      </c>
      <c r="L50" s="24" t="s">
        <v>23</v>
      </c>
      <c r="M50" s="24" t="s">
        <v>23</v>
      </c>
      <c r="N50" s="24"/>
      <c r="O50" s="24"/>
      <c r="P50" s="24" t="s">
        <v>23</v>
      </c>
    </row>
    <row r="51" customFormat="false" ht="15" hidden="false" customHeight="false" outlineLevel="0" collapsed="false">
      <c r="A51" s="20" t="s">
        <v>63</v>
      </c>
      <c r="B51" s="21"/>
      <c r="C51" s="22" t="n">
        <v>1</v>
      </c>
      <c r="D51" s="20" t="n">
        <f aca="false">COUNTIF(E51:AB51,"x")</f>
        <v>4</v>
      </c>
      <c r="J51" s="24"/>
      <c r="K51" s="24"/>
      <c r="L51" s="24"/>
      <c r="M51" s="24" t="s">
        <v>23</v>
      </c>
      <c r="N51" s="24" t="s">
        <v>23</v>
      </c>
      <c r="O51" s="24" t="s">
        <v>23</v>
      </c>
      <c r="P51" s="24" t="s">
        <v>23</v>
      </c>
    </row>
    <row r="52" customFormat="false" ht="15" hidden="false" customHeight="false" outlineLevel="0" collapsed="false">
      <c r="A52" s="20" t="s">
        <v>64</v>
      </c>
      <c r="B52" s="21"/>
      <c r="C52" s="22" t="n">
        <v>1</v>
      </c>
      <c r="D52" s="20" t="n">
        <f aca="false">COUNTIF(E52:AB52,"x")</f>
        <v>4</v>
      </c>
      <c r="J52" s="24"/>
      <c r="K52" s="24"/>
      <c r="L52" s="24"/>
      <c r="M52" s="24" t="s">
        <v>23</v>
      </c>
      <c r="N52" s="24" t="s">
        <v>23</v>
      </c>
      <c r="O52" s="24" t="s">
        <v>23</v>
      </c>
      <c r="P52" s="24" t="s">
        <v>23</v>
      </c>
    </row>
    <row r="53" customFormat="false" ht="15" hidden="false" customHeight="false" outlineLevel="0" collapsed="false">
      <c r="A53" s="27" t="s">
        <v>65</v>
      </c>
      <c r="B53" s="28" t="n">
        <v>46148</v>
      </c>
      <c r="C53" s="29" t="n">
        <f aca="false">SUM(C54)/COUNTA(C54)</f>
        <v>1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T53" s="1"/>
      <c r="AU53" s="1"/>
      <c r="AV53" s="1"/>
      <c r="AW53" s="1"/>
    </row>
    <row r="54" customFormat="false" ht="15" hidden="false" customHeight="false" outlineLevel="0" collapsed="false">
      <c r="A54" s="31" t="s">
        <v>66</v>
      </c>
      <c r="B54" s="32"/>
      <c r="C54" s="33" t="n">
        <v>1</v>
      </c>
      <c r="D54" s="31" t="n">
        <f aca="false">COUNTIF(E54:AB54,"x")</f>
        <v>4</v>
      </c>
      <c r="P54" s="24" t="s">
        <v>23</v>
      </c>
      <c r="Q54" s="24" t="s">
        <v>23</v>
      </c>
      <c r="R54" s="24" t="s">
        <v>23</v>
      </c>
      <c r="S54" s="24"/>
      <c r="T54" s="24"/>
      <c r="U54" s="24" t="s">
        <v>23</v>
      </c>
    </row>
    <row r="55" customFormat="false" ht="15" hidden="false" customHeight="false" outlineLevel="0" collapsed="false">
      <c r="A55" s="31" t="s">
        <v>67</v>
      </c>
      <c r="B55" s="32"/>
      <c r="C55" s="33" t="n">
        <v>1</v>
      </c>
      <c r="D55" s="31" t="n">
        <f aca="false">COUNTIF(E55:AB55,"x")</f>
        <v>4</v>
      </c>
      <c r="P55" s="24"/>
      <c r="Q55" s="24" t="s">
        <v>23</v>
      </c>
      <c r="R55" s="24" t="s">
        <v>23</v>
      </c>
      <c r="S55" s="24" t="s">
        <v>23</v>
      </c>
      <c r="T55" s="24"/>
      <c r="U55" s="24" t="s">
        <v>23</v>
      </c>
    </row>
    <row r="56" customFormat="false" ht="15" hidden="false" customHeight="false" outlineLevel="0" collapsed="false">
      <c r="A56" s="31" t="s">
        <v>68</v>
      </c>
      <c r="B56" s="32"/>
      <c r="C56" s="33" t="n">
        <v>1</v>
      </c>
      <c r="D56" s="31" t="n">
        <f aca="false">COUNTIF(E56:AB56,"x")</f>
        <v>4</v>
      </c>
      <c r="P56" s="24"/>
      <c r="Q56" s="24"/>
      <c r="R56" s="24" t="s">
        <v>23</v>
      </c>
      <c r="S56" s="24" t="s">
        <v>23</v>
      </c>
      <c r="T56" s="24" t="s">
        <v>23</v>
      </c>
      <c r="U56" s="24" t="s">
        <v>23</v>
      </c>
    </row>
    <row r="57" customFormat="false" ht="15" hidden="false" customHeight="false" outlineLevel="0" collapsed="false">
      <c r="A57" s="31" t="s">
        <v>69</v>
      </c>
      <c r="B57" s="32"/>
      <c r="C57" s="33" t="n">
        <v>1</v>
      </c>
      <c r="D57" s="31" t="n">
        <f aca="false">COUNTIF(E57:AB57,"x")</f>
        <v>3</v>
      </c>
      <c r="P57" s="24"/>
      <c r="Q57" s="24"/>
      <c r="R57" s="24"/>
      <c r="S57" s="24" t="s">
        <v>23</v>
      </c>
      <c r="T57" s="24" t="s">
        <v>23</v>
      </c>
      <c r="U57" s="24" t="s">
        <v>23</v>
      </c>
    </row>
    <row r="58" customFormat="false" ht="15" hidden="false" customHeight="false" outlineLevel="0" collapsed="false">
      <c r="A58" s="34" t="s">
        <v>70</v>
      </c>
      <c r="B58" s="35" t="s">
        <v>71</v>
      </c>
      <c r="C58" s="36" t="n">
        <f aca="false">SUM(C59:C62)/COUNTA(C59:C62)</f>
        <v>1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T58" s="1"/>
      <c r="AU58" s="1"/>
      <c r="AV58" s="1"/>
      <c r="AW58" s="1"/>
    </row>
    <row r="59" customFormat="false" ht="15" hidden="false" customHeight="false" outlineLevel="0" collapsed="false">
      <c r="A59" s="38" t="s">
        <v>72</v>
      </c>
      <c r="B59" s="39"/>
      <c r="C59" s="40" t="n">
        <v>1</v>
      </c>
      <c r="D59" s="38" t="n">
        <f aca="false">COUNTIF(E59:AB59,"x")</f>
        <v>4</v>
      </c>
      <c r="U59" s="24"/>
      <c r="V59" s="24" t="s">
        <v>23</v>
      </c>
      <c r="W59" s="24" t="s">
        <v>23</v>
      </c>
      <c r="X59" s="24" t="s">
        <v>23</v>
      </c>
      <c r="Y59" s="24"/>
      <c r="Z59" s="24" t="s">
        <v>23</v>
      </c>
      <c r="AA59" s="24"/>
      <c r="AB59" s="24"/>
    </row>
    <row r="60" customFormat="false" ht="15" hidden="false" customHeight="false" outlineLevel="0" collapsed="false">
      <c r="A60" s="38" t="s">
        <v>73</v>
      </c>
      <c r="B60" s="39"/>
      <c r="C60" s="40" t="n">
        <v>1</v>
      </c>
      <c r="D60" s="38" t="n">
        <f aca="false">COUNTIF(E60:AB60,"x")</f>
        <v>3</v>
      </c>
      <c r="U60" s="24"/>
      <c r="V60" s="24"/>
      <c r="W60" s="24" t="s">
        <v>23</v>
      </c>
      <c r="X60" s="24" t="s">
        <v>23</v>
      </c>
      <c r="Y60" s="24"/>
      <c r="Z60" s="24" t="s">
        <v>23</v>
      </c>
      <c r="AA60" s="24"/>
      <c r="AB60" s="24"/>
    </row>
    <row r="61" customFormat="false" ht="15" hidden="false" customHeight="false" outlineLevel="0" collapsed="false">
      <c r="A61" s="38" t="s">
        <v>74</v>
      </c>
      <c r="B61" s="39"/>
      <c r="C61" s="40" t="n">
        <v>1</v>
      </c>
      <c r="D61" s="38" t="n">
        <f aca="false">COUNTIF(E61:AB61,"x")</f>
        <v>3</v>
      </c>
      <c r="U61" s="24" t="s">
        <v>23</v>
      </c>
      <c r="V61" s="24" t="s">
        <v>23</v>
      </c>
      <c r="W61" s="24"/>
      <c r="X61" s="24"/>
      <c r="Y61" s="24"/>
      <c r="Z61" s="24" t="s">
        <v>23</v>
      </c>
      <c r="AA61" s="24"/>
      <c r="AB61" s="24"/>
    </row>
    <row r="62" customFormat="false" ht="15" hidden="false" customHeight="false" outlineLevel="0" collapsed="false">
      <c r="A62" s="38" t="s">
        <v>75</v>
      </c>
      <c r="B62" s="39"/>
      <c r="C62" s="40" t="n">
        <v>1</v>
      </c>
      <c r="D62" s="38" t="n">
        <f aca="false">COUNTIF(E62:AB62,"x")</f>
        <v>2</v>
      </c>
      <c r="U62" s="24"/>
      <c r="V62" s="24"/>
      <c r="W62" s="24"/>
      <c r="X62" s="24"/>
      <c r="Y62" s="24" t="s">
        <v>23</v>
      </c>
      <c r="Z62" s="24" t="s">
        <v>23</v>
      </c>
      <c r="AA62" s="24"/>
      <c r="AB62" s="24"/>
    </row>
    <row r="63" customFormat="false" ht="15" hidden="false" customHeight="false" outlineLevel="0" collapsed="false">
      <c r="C63" s="48"/>
    </row>
    <row r="64" customFormat="false" ht="15" hidden="false" customHeight="false" outlineLevel="0" collapsed="false">
      <c r="C64" s="48"/>
    </row>
    <row r="65" customFormat="false" ht="15" hidden="false" customHeight="false" outlineLevel="0" collapsed="false">
      <c r="C65" s="48"/>
    </row>
  </sheetData>
  <mergeCells count="12">
    <mergeCell ref="E8:H8"/>
    <mergeCell ref="I8:L8"/>
    <mergeCell ref="M8:P8"/>
    <mergeCell ref="Q8:T8"/>
    <mergeCell ref="U8:X8"/>
    <mergeCell ref="Y8:AB8"/>
    <mergeCell ref="AC8:AF8"/>
    <mergeCell ref="AG8:AJ8"/>
    <mergeCell ref="AK8:AN8"/>
    <mergeCell ref="AO8:AR8"/>
    <mergeCell ref="AS8:AV8"/>
    <mergeCell ref="AW8:AZ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2023-05-11T07:19:44Z</dcterms:created>
  <dc:creator>Sofiane Alla</dc:creator>
  <dc:description/>
  <dc:language>fr-FR</dc:language>
  <cp:lastModifiedBy/>
  <cp:lastPrinted>2024-06-10T22:28:45Z</cp:lastPrinted>
  <dcterms:modified xsi:type="dcterms:W3CDTF">2026-05-26T17:09:00Z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